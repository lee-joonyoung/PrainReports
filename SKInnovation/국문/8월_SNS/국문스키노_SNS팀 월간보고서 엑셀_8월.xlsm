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8월_SNS\"/>
    </mc:Choice>
  </mc:AlternateContent>
  <xr:revisionPtr revIDLastSave="0" documentId="13_ncr:1_{70647640-AD91-4B1F-AA86-8632E82FB2A8}" xr6:coauthVersionLast="47" xr6:coauthVersionMax="47" xr10:uidLastSave="{00000000-0000-0000-0000-000000000000}"/>
  <bookViews>
    <workbookView xWindow="-120" yWindow="-120" windowWidth="57840" windowHeight="15720" tabRatio="825" activeTab="14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state="hidden" r:id="rId14"/>
    <sheet name="FB, IG 멘트정리시트" sheetId="22" r:id="rId15"/>
  </sheets>
  <definedNames>
    <definedName name="_xlnm._FilterDatabase" localSheetId="6" hidden="1">'FB 신규발행'!$A$2:$R$82</definedName>
    <definedName name="_xlnm._FilterDatabase" localSheetId="11" hidden="1">'IG 신규발행'!$A$3:$P$42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10" l="1"/>
  <c r="R15" i="10" a="1"/>
  <c r="R15" i="10" s="1"/>
  <c r="U18" i="3" a="1"/>
  <c r="U18" i="3" s="1"/>
  <c r="U17" i="3" a="1"/>
  <c r="U17" i="3" s="1"/>
  <c r="U15" i="3" a="1"/>
  <c r="U15" i="3" s="1"/>
  <c r="U14" i="3" a="1"/>
  <c r="U14" i="3" s="1"/>
  <c r="U13" i="3" a="1"/>
  <c r="U13" i="3" s="1"/>
  <c r="U12" i="3" a="1"/>
  <c r="U12" i="3" s="1"/>
  <c r="U11" i="3" a="1"/>
  <c r="U11" i="3" s="1"/>
  <c r="U10" i="3" a="1"/>
  <c r="U10" i="3" s="1"/>
  <c r="U8" i="3" a="1"/>
  <c r="U8" i="3" s="1"/>
  <c r="R6" i="10" l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2" i="11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2" i="6"/>
  <c r="U16" i="3"/>
  <c r="U5" i="3"/>
  <c r="S80" i="11" l="1"/>
  <c r="S96" i="11"/>
  <c r="S48" i="11"/>
  <c r="S24" i="11"/>
  <c r="S72" i="11"/>
  <c r="S56" i="11"/>
  <c r="S32" i="11"/>
  <c r="S64" i="11"/>
  <c r="S88" i="11"/>
  <c r="S87" i="11"/>
  <c r="S79" i="11"/>
  <c r="S71" i="11"/>
  <c r="S63" i="11"/>
  <c r="S55" i="11"/>
  <c r="S47" i="11"/>
  <c r="S39" i="11"/>
  <c r="S31" i="11"/>
  <c r="S23" i="11"/>
  <c r="S15" i="11"/>
  <c r="S7" i="11"/>
  <c r="S16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S26" i="11"/>
  <c r="S85" i="11"/>
  <c r="S77" i="11"/>
  <c r="S69" i="11"/>
  <c r="S61" i="11"/>
  <c r="S53" i="11"/>
  <c r="S45" i="11"/>
  <c r="S37" i="11"/>
  <c r="S29" i="11"/>
  <c r="S21" i="11"/>
  <c r="S13" i="11"/>
  <c r="S5" i="11"/>
  <c r="S95" i="11"/>
  <c r="S92" i="11"/>
  <c r="S84" i="11"/>
  <c r="S76" i="11"/>
  <c r="S68" i="11"/>
  <c r="S60" i="11"/>
  <c r="S52" i="11"/>
  <c r="S44" i="11"/>
  <c r="S36" i="11"/>
  <c r="S28" i="11"/>
  <c r="S20" i="11"/>
  <c r="S12" i="11"/>
  <c r="S4" i="11"/>
  <c r="S2" i="11"/>
  <c r="S91" i="11"/>
  <c r="S75" i="11"/>
  <c r="S67" i="11"/>
  <c r="S59" i="11"/>
  <c r="S51" i="11"/>
  <c r="S43" i="11"/>
  <c r="S35" i="11"/>
  <c r="S27" i="11"/>
  <c r="S19" i="11"/>
  <c r="S11" i="11"/>
  <c r="S3" i="11"/>
  <c r="S93" i="11"/>
  <c r="S99" i="11"/>
  <c r="S83" i="11"/>
  <c r="S40" i="11"/>
  <c r="S97" i="11"/>
  <c r="S89" i="11"/>
  <c r="S81" i="11"/>
  <c r="S73" i="11"/>
  <c r="S65" i="11"/>
  <c r="S57" i="11"/>
  <c r="S49" i="11"/>
  <c r="S41" i="11"/>
  <c r="S33" i="11"/>
  <c r="S25" i="11"/>
  <c r="S17" i="11"/>
  <c r="S9" i="11"/>
  <c r="S98" i="11"/>
  <c r="S42" i="11"/>
  <c r="S82" i="11"/>
  <c r="S34" i="11"/>
  <c r="S58" i="11"/>
  <c r="S10" i="11"/>
  <c r="S8" i="11"/>
  <c r="S90" i="11"/>
  <c r="S18" i="11"/>
  <c r="S74" i="11"/>
  <c r="S50" i="11"/>
  <c r="S66" i="11"/>
  <c r="AR3" i="6"/>
  <c r="AR18" i="6"/>
  <c r="AR17" i="6"/>
  <c r="AR16" i="6"/>
  <c r="AR8" i="6"/>
  <c r="AR29" i="6"/>
  <c r="AR14" i="6"/>
  <c r="AR6" i="6"/>
  <c r="AR37" i="6"/>
  <c r="AR9" i="6"/>
  <c r="AR7" i="6"/>
  <c r="AR2" i="6"/>
  <c r="AR13" i="6"/>
  <c r="AR5" i="6"/>
  <c r="AR27" i="6"/>
  <c r="AR15" i="6"/>
  <c r="AR20" i="6"/>
  <c r="AR12" i="6"/>
  <c r="AR4" i="6"/>
  <c r="AR39" i="6"/>
  <c r="AR10" i="6"/>
  <c r="AR19" i="6"/>
  <c r="AR11" i="6"/>
  <c r="AR38" i="6"/>
  <c r="AR41" i="6"/>
  <c r="AR33" i="6"/>
  <c r="AR25" i="6"/>
  <c r="AR36" i="6"/>
  <c r="AR42" i="6"/>
  <c r="AR23" i="6"/>
  <c r="AR32" i="6"/>
  <c r="AR30" i="6"/>
  <c r="AR22" i="6"/>
  <c r="AR43" i="6"/>
  <c r="AR35" i="6"/>
  <c r="AR34" i="6"/>
  <c r="AR26" i="6"/>
  <c r="AR40" i="6"/>
  <c r="AR24" i="6"/>
  <c r="AR31" i="6"/>
  <c r="AR21" i="6"/>
  <c r="AR28" i="6"/>
  <c r="U9" i="3"/>
  <c r="J5" i="5"/>
  <c r="K6" i="12" l="1"/>
  <c r="H31" i="12"/>
  <c r="H23" i="12"/>
  <c r="H38" i="12"/>
  <c r="K12" i="12"/>
  <c r="H12" i="12"/>
  <c r="K27" i="12"/>
  <c r="K25" i="12"/>
  <c r="H34" i="12"/>
  <c r="K8" i="12"/>
  <c r="K23" i="12"/>
  <c r="H24" i="12"/>
  <c r="H15" i="12"/>
  <c r="H30" i="12"/>
  <c r="G8" i="12"/>
  <c r="K42" i="12"/>
  <c r="K4" i="12"/>
  <c r="K17" i="12"/>
  <c r="H26" i="12"/>
  <c r="H41" i="12"/>
  <c r="K15" i="12"/>
  <c r="H16" i="12"/>
  <c r="H22" i="12"/>
  <c r="H35" i="12"/>
  <c r="H18" i="12"/>
  <c r="H33" i="12"/>
  <c r="H8" i="12"/>
  <c r="K37" i="12"/>
  <c r="H14" i="12"/>
  <c r="K26" i="12"/>
  <c r="H27" i="12"/>
  <c r="H10" i="12"/>
  <c r="H25" i="12"/>
  <c r="H37" i="12"/>
  <c r="K38" i="12"/>
  <c r="H29" i="12"/>
  <c r="K30" i="12"/>
  <c r="H6" i="12"/>
  <c r="H4" i="12"/>
  <c r="K18" i="12"/>
  <c r="K40" i="12"/>
  <c r="H5" i="12"/>
  <c r="K21" i="12"/>
  <c r="K36" i="12"/>
  <c r="H36" i="12"/>
  <c r="K10" i="12"/>
  <c r="H11" i="12"/>
  <c r="K35" i="12"/>
  <c r="K32" i="12"/>
  <c r="H9" i="12"/>
  <c r="K11" i="12"/>
  <c r="K22" i="12"/>
  <c r="H7" i="12"/>
  <c r="H21" i="12"/>
  <c r="K34" i="12"/>
  <c r="K9" i="12"/>
  <c r="K7" i="12"/>
  <c r="K29" i="12"/>
  <c r="H19" i="12"/>
  <c r="H17" i="12"/>
  <c r="H39" i="12"/>
  <c r="K13" i="12"/>
  <c r="K28" i="12"/>
  <c r="H28" i="12"/>
  <c r="K41" i="12"/>
  <c r="K19" i="12"/>
  <c r="K24" i="12"/>
  <c r="K39" i="12"/>
  <c r="H40" i="12"/>
  <c r="K14" i="12"/>
  <c r="K5" i="12"/>
  <c r="K20" i="12"/>
  <c r="H20" i="12"/>
  <c r="H13" i="12"/>
  <c r="K33" i="12"/>
  <c r="H42" i="12"/>
  <c r="K16" i="12"/>
  <c r="K31" i="12"/>
  <c r="H32" i="12"/>
  <c r="M3" i="8"/>
  <c r="N3" i="8"/>
  <c r="D3" i="8"/>
  <c r="C3" i="8"/>
  <c r="G3" i="8"/>
  <c r="I3" i="8"/>
  <c r="P3" i="8"/>
  <c r="K3" i="8"/>
  <c r="F3" i="8"/>
  <c r="L3" i="8"/>
  <c r="J3" i="8"/>
  <c r="Q3" i="8"/>
  <c r="O3" i="8"/>
  <c r="E3" i="8"/>
  <c r="J5" i="10"/>
  <c r="I5" i="5"/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X7" i="12"/>
  <c r="X6" i="12"/>
  <c r="X5" i="12"/>
  <c r="X4" i="12"/>
  <c r="R99" i="11" l="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Q13" i="6"/>
  <c r="AQ12" i="6"/>
  <c r="AQ11" i="6"/>
  <c r="AQ10" i="6"/>
  <c r="AQ9" i="6"/>
  <c r="AQ8" i="6"/>
  <c r="AQ7" i="6"/>
  <c r="AQ6" i="6"/>
  <c r="AQ5" i="6"/>
  <c r="AQ4" i="6"/>
  <c r="AQ3" i="6"/>
  <c r="AQ2" i="6"/>
  <c r="B3" i="8" l="1"/>
  <c r="D1" i="12"/>
  <c r="R4" i="3"/>
  <c r="N4" i="3" l="1"/>
  <c r="L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5" i="12"/>
  <c r="H3" i="13" s="1"/>
  <c r="D6" i="12"/>
  <c r="N3" i="13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B3" i="13" s="1"/>
  <c r="N42" i="12"/>
  <c r="R42" i="12" s="1"/>
  <c r="M42" i="12"/>
  <c r="L42" i="12"/>
  <c r="J42" i="12"/>
  <c r="S42" i="12" s="1"/>
  <c r="I42" i="12"/>
  <c r="G42" i="12"/>
  <c r="F42" i="12"/>
  <c r="N41" i="12"/>
  <c r="R41" i="12" s="1"/>
  <c r="M41" i="12"/>
  <c r="L41" i="12"/>
  <c r="J41" i="12"/>
  <c r="S41" i="12" s="1"/>
  <c r="I41" i="12"/>
  <c r="G41" i="12"/>
  <c r="F41" i="12"/>
  <c r="N40" i="12"/>
  <c r="R40" i="12" s="1"/>
  <c r="M40" i="12"/>
  <c r="L40" i="12"/>
  <c r="J40" i="12"/>
  <c r="S40" i="12" s="1"/>
  <c r="I40" i="12"/>
  <c r="G40" i="12"/>
  <c r="F40" i="12"/>
  <c r="N39" i="12"/>
  <c r="R39" i="12" s="1"/>
  <c r="M39" i="12"/>
  <c r="L39" i="12"/>
  <c r="J39" i="12"/>
  <c r="S39" i="12" s="1"/>
  <c r="I39" i="12"/>
  <c r="G39" i="12"/>
  <c r="F39" i="12"/>
  <c r="N38" i="12"/>
  <c r="R38" i="12" s="1"/>
  <c r="M38" i="12"/>
  <c r="L38" i="12"/>
  <c r="J38" i="12"/>
  <c r="S38" i="12" s="1"/>
  <c r="I38" i="12"/>
  <c r="G38" i="12"/>
  <c r="F38" i="12"/>
  <c r="N37" i="12"/>
  <c r="R37" i="12" s="1"/>
  <c r="M37" i="12"/>
  <c r="L37" i="12"/>
  <c r="J37" i="12"/>
  <c r="S37" i="12" s="1"/>
  <c r="I37" i="12"/>
  <c r="G37" i="12"/>
  <c r="F37" i="12"/>
  <c r="N36" i="12"/>
  <c r="R36" i="12" s="1"/>
  <c r="M36" i="12"/>
  <c r="L36" i="12"/>
  <c r="J36" i="12"/>
  <c r="S36" i="12" s="1"/>
  <c r="I36" i="12"/>
  <c r="G36" i="12"/>
  <c r="F36" i="12"/>
  <c r="N35" i="12"/>
  <c r="R35" i="12" s="1"/>
  <c r="M35" i="12"/>
  <c r="L35" i="12"/>
  <c r="J35" i="12"/>
  <c r="S35" i="12" s="1"/>
  <c r="I35" i="12"/>
  <c r="G35" i="12"/>
  <c r="F35" i="12"/>
  <c r="N34" i="12"/>
  <c r="R34" i="12" s="1"/>
  <c r="M34" i="12"/>
  <c r="L34" i="12"/>
  <c r="J34" i="12"/>
  <c r="S34" i="12" s="1"/>
  <c r="I34" i="12"/>
  <c r="G34" i="12"/>
  <c r="F34" i="12"/>
  <c r="N33" i="12"/>
  <c r="R33" i="12" s="1"/>
  <c r="M33" i="12"/>
  <c r="L33" i="12"/>
  <c r="J33" i="12"/>
  <c r="S33" i="12" s="1"/>
  <c r="I33" i="12"/>
  <c r="G33" i="12"/>
  <c r="F33" i="12"/>
  <c r="N32" i="12"/>
  <c r="R32" i="12" s="1"/>
  <c r="M32" i="12"/>
  <c r="L32" i="12"/>
  <c r="J32" i="12"/>
  <c r="S32" i="12" s="1"/>
  <c r="I32" i="12"/>
  <c r="G32" i="12"/>
  <c r="F32" i="12"/>
  <c r="N31" i="12"/>
  <c r="R31" i="12" s="1"/>
  <c r="M31" i="12"/>
  <c r="L31" i="12"/>
  <c r="J31" i="12"/>
  <c r="S31" i="12" s="1"/>
  <c r="I31" i="12"/>
  <c r="G31" i="12"/>
  <c r="F31" i="12"/>
  <c r="N30" i="12"/>
  <c r="R30" i="12" s="1"/>
  <c r="M30" i="12"/>
  <c r="L30" i="12"/>
  <c r="J30" i="12"/>
  <c r="S30" i="12" s="1"/>
  <c r="I30" i="12"/>
  <c r="G30" i="12"/>
  <c r="F30" i="12"/>
  <c r="N29" i="12"/>
  <c r="R29" i="12" s="1"/>
  <c r="M29" i="12"/>
  <c r="L29" i="12"/>
  <c r="J29" i="12"/>
  <c r="S29" i="12" s="1"/>
  <c r="I29" i="12"/>
  <c r="G29" i="12"/>
  <c r="F29" i="12"/>
  <c r="N28" i="12"/>
  <c r="R28" i="12" s="1"/>
  <c r="M28" i="12"/>
  <c r="L28" i="12"/>
  <c r="J28" i="12"/>
  <c r="S28" i="12" s="1"/>
  <c r="I28" i="12"/>
  <c r="G28" i="12"/>
  <c r="F28" i="12"/>
  <c r="N27" i="12"/>
  <c r="R27" i="12" s="1"/>
  <c r="M27" i="12"/>
  <c r="L27" i="12"/>
  <c r="J27" i="12"/>
  <c r="S27" i="12" s="1"/>
  <c r="I27" i="12"/>
  <c r="G27" i="12"/>
  <c r="F27" i="12"/>
  <c r="N26" i="12"/>
  <c r="R26" i="12" s="1"/>
  <c r="M26" i="12"/>
  <c r="L26" i="12"/>
  <c r="J26" i="12"/>
  <c r="S26" i="12" s="1"/>
  <c r="I26" i="12"/>
  <c r="G26" i="12"/>
  <c r="F26" i="12"/>
  <c r="N25" i="12"/>
  <c r="R25" i="12" s="1"/>
  <c r="M25" i="12"/>
  <c r="L25" i="12"/>
  <c r="J25" i="12"/>
  <c r="S25" i="12" s="1"/>
  <c r="I25" i="12"/>
  <c r="G25" i="12"/>
  <c r="F25" i="12"/>
  <c r="N24" i="12"/>
  <c r="R24" i="12" s="1"/>
  <c r="M24" i="12"/>
  <c r="L24" i="12"/>
  <c r="J24" i="12"/>
  <c r="S24" i="12" s="1"/>
  <c r="I24" i="12"/>
  <c r="G24" i="12"/>
  <c r="F24" i="12"/>
  <c r="N23" i="12"/>
  <c r="R23" i="12" s="1"/>
  <c r="M23" i="12"/>
  <c r="L23" i="12"/>
  <c r="J23" i="12"/>
  <c r="S23" i="12" s="1"/>
  <c r="I23" i="12"/>
  <c r="G23" i="12"/>
  <c r="F23" i="12"/>
  <c r="N22" i="12"/>
  <c r="R22" i="12" s="1"/>
  <c r="M22" i="12"/>
  <c r="L22" i="12"/>
  <c r="J22" i="12"/>
  <c r="S22" i="12" s="1"/>
  <c r="I22" i="12"/>
  <c r="G22" i="12"/>
  <c r="F22" i="12"/>
  <c r="N21" i="12"/>
  <c r="R21" i="12" s="1"/>
  <c r="M21" i="12"/>
  <c r="L21" i="12"/>
  <c r="J21" i="12"/>
  <c r="S21" i="12" s="1"/>
  <c r="I21" i="12"/>
  <c r="G21" i="12"/>
  <c r="F21" i="12"/>
  <c r="N20" i="12"/>
  <c r="R20" i="12" s="1"/>
  <c r="M20" i="12"/>
  <c r="L20" i="12"/>
  <c r="J20" i="12"/>
  <c r="S20" i="12" s="1"/>
  <c r="I20" i="12"/>
  <c r="G20" i="12"/>
  <c r="F20" i="12"/>
  <c r="N19" i="12"/>
  <c r="R19" i="12" s="1"/>
  <c r="M19" i="12"/>
  <c r="L19" i="12"/>
  <c r="J19" i="12"/>
  <c r="S19" i="12" s="1"/>
  <c r="I19" i="12"/>
  <c r="G19" i="12"/>
  <c r="F19" i="12"/>
  <c r="N18" i="12"/>
  <c r="M18" i="12"/>
  <c r="L18" i="12"/>
  <c r="J18" i="12"/>
  <c r="S18" i="12" s="1"/>
  <c r="I18" i="12"/>
  <c r="G18" i="12"/>
  <c r="F18" i="12"/>
  <c r="N17" i="12"/>
  <c r="M17" i="12"/>
  <c r="L17" i="12"/>
  <c r="J17" i="12"/>
  <c r="S17" i="12" s="1"/>
  <c r="I17" i="12"/>
  <c r="G17" i="12"/>
  <c r="F17" i="12"/>
  <c r="N16" i="12"/>
  <c r="M16" i="12"/>
  <c r="L16" i="12"/>
  <c r="J16" i="12"/>
  <c r="I16" i="12"/>
  <c r="G16" i="12"/>
  <c r="F16" i="12"/>
  <c r="N15" i="12"/>
  <c r="M15" i="12"/>
  <c r="L15" i="12"/>
  <c r="J15" i="12"/>
  <c r="I15" i="12"/>
  <c r="G15" i="12"/>
  <c r="F15" i="12"/>
  <c r="N14" i="12"/>
  <c r="M14" i="12"/>
  <c r="L14" i="12"/>
  <c r="J14" i="12"/>
  <c r="S14" i="12" s="1"/>
  <c r="I14" i="12"/>
  <c r="G14" i="12"/>
  <c r="F14" i="12"/>
  <c r="N13" i="12"/>
  <c r="M13" i="12"/>
  <c r="L13" i="12"/>
  <c r="J13" i="12"/>
  <c r="S13" i="12" s="1"/>
  <c r="I13" i="12"/>
  <c r="G13" i="12"/>
  <c r="F13" i="12"/>
  <c r="N12" i="12"/>
  <c r="M12" i="12"/>
  <c r="L12" i="12"/>
  <c r="J12" i="12"/>
  <c r="S12" i="12" s="1"/>
  <c r="I12" i="12"/>
  <c r="G12" i="12"/>
  <c r="F12" i="12"/>
  <c r="N11" i="12"/>
  <c r="M11" i="12"/>
  <c r="L11" i="12"/>
  <c r="J11" i="12"/>
  <c r="I11" i="12"/>
  <c r="G11" i="12"/>
  <c r="F11" i="12"/>
  <c r="N10" i="12"/>
  <c r="M10" i="12"/>
  <c r="L10" i="12"/>
  <c r="J10" i="12"/>
  <c r="I10" i="12"/>
  <c r="G10" i="12"/>
  <c r="F10" i="12"/>
  <c r="N9" i="12"/>
  <c r="M9" i="12"/>
  <c r="L9" i="12"/>
  <c r="J9" i="12"/>
  <c r="I9" i="12"/>
  <c r="G9" i="12"/>
  <c r="F9" i="12"/>
  <c r="N8" i="12"/>
  <c r="M8" i="12"/>
  <c r="L8" i="12"/>
  <c r="J8" i="12"/>
  <c r="S8" i="12" s="1"/>
  <c r="I8" i="12"/>
  <c r="F8" i="12"/>
  <c r="N7" i="12"/>
  <c r="M7" i="12"/>
  <c r="L7" i="12"/>
  <c r="J7" i="12"/>
  <c r="S7" i="12" s="1"/>
  <c r="I7" i="12"/>
  <c r="G7" i="12"/>
  <c r="F7" i="12"/>
  <c r="N6" i="12"/>
  <c r="M6" i="12"/>
  <c r="Q6" i="13" s="1"/>
  <c r="L6" i="12"/>
  <c r="O6" i="13" s="1"/>
  <c r="J6" i="12"/>
  <c r="S6" i="12" s="1"/>
  <c r="I6" i="12"/>
  <c r="G6" i="12"/>
  <c r="O7" i="13" s="1"/>
  <c r="F6" i="12"/>
  <c r="O5" i="13" s="1"/>
  <c r="N5" i="12"/>
  <c r="M5" i="12"/>
  <c r="K6" i="13" s="1"/>
  <c r="L5" i="12"/>
  <c r="I6" i="13" s="1"/>
  <c r="J5" i="12"/>
  <c r="S5" i="12" s="1"/>
  <c r="I5" i="12"/>
  <c r="G5" i="12"/>
  <c r="I7" i="13" s="1"/>
  <c r="F5" i="12"/>
  <c r="I5" i="13" s="1"/>
  <c r="N4" i="12"/>
  <c r="M4" i="12"/>
  <c r="E6" i="13" s="1"/>
  <c r="L4" i="12"/>
  <c r="C6" i="13" s="1"/>
  <c r="J4" i="12"/>
  <c r="S4" i="12" s="1"/>
  <c r="I4" i="12"/>
  <c r="G4" i="12"/>
  <c r="C7" i="13" s="1"/>
  <c r="F4" i="12"/>
  <c r="C5" i="13" s="1"/>
  <c r="E5" i="12"/>
  <c r="K5" i="13" s="1"/>
  <c r="E6" i="12"/>
  <c r="Q5" i="13" s="1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E5" i="13" s="1"/>
  <c r="A23" i="17"/>
  <c r="S16" i="12" l="1"/>
  <c r="S15" i="12"/>
  <c r="S9" i="12"/>
  <c r="R16" i="12"/>
  <c r="R8" i="12"/>
  <c r="R9" i="12"/>
  <c r="R15" i="12"/>
  <c r="R12" i="12"/>
  <c r="R17" i="12"/>
  <c r="R7" i="12"/>
  <c r="S11" i="12"/>
  <c r="K19" i="13" s="1"/>
  <c r="R14" i="12"/>
  <c r="S10" i="12"/>
  <c r="R13" i="12"/>
  <c r="R11" i="12"/>
  <c r="R10" i="12"/>
  <c r="R18" i="12"/>
  <c r="R6" i="12"/>
  <c r="Q7" i="13"/>
  <c r="K7" i="13"/>
  <c r="R5" i="12"/>
  <c r="K20" i="13"/>
  <c r="R4" i="12"/>
  <c r="E7" i="13"/>
  <c r="R9" i="10" a="1"/>
  <c r="R9" i="10" s="1"/>
  <c r="M5" i="10" a="1"/>
  <c r="M5" i="10" s="1"/>
  <c r="K5" i="10" a="1"/>
  <c r="K5" i="10" s="1"/>
  <c r="K21" i="13" l="1"/>
  <c r="I20" i="13"/>
  <c r="I21" i="13"/>
  <c r="H17" i="13"/>
  <c r="I19" i="13"/>
  <c r="E20" i="13"/>
  <c r="E21" i="13"/>
  <c r="E19" i="13"/>
  <c r="B17" i="13"/>
  <c r="C20" i="13"/>
  <c r="C21" i="13"/>
  <c r="C19" i="1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N11" i="3"/>
  <c r="M11" i="3"/>
  <c r="N10" i="3"/>
  <c r="M10" i="3"/>
  <c r="P4" i="3" a="1"/>
  <c r="P4" i="3" s="1"/>
  <c r="O4" i="3" a="1"/>
  <c r="O4" i="3" s="1"/>
  <c r="M4" i="3" a="1"/>
  <c r="M4" i="3" s="1"/>
  <c r="B23" i="17" l="1"/>
  <c r="A17" i="17"/>
  <c r="B17" i="17" s="1"/>
  <c r="I5" i="10" l="1"/>
  <c r="K4" i="3"/>
  <c r="L6" i="3" s="1"/>
  <c r="A20" i="17" s="1"/>
  <c r="L13" i="10" l="1"/>
  <c r="R10" i="10" s="1" a="1"/>
  <c r="R10" i="10" s="1"/>
  <c r="K13" i="10"/>
  <c r="M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O28" i="12" s="1"/>
  <c r="B36" i="12"/>
  <c r="O36" i="12" s="1"/>
  <c r="B4" i="12"/>
  <c r="O4" i="12" s="1"/>
  <c r="C8" i="13" s="1"/>
  <c r="B5" i="12"/>
  <c r="B13" i="12"/>
  <c r="B21" i="12"/>
  <c r="O21" i="12" s="1"/>
  <c r="B29" i="12"/>
  <c r="O29" i="12" s="1"/>
  <c r="B37" i="12"/>
  <c r="B6" i="12"/>
  <c r="B14" i="12"/>
  <c r="O14" i="12" s="1"/>
  <c r="B22" i="12"/>
  <c r="O22" i="12" s="1"/>
  <c r="B30" i="12"/>
  <c r="B38" i="12"/>
  <c r="O38" i="12" s="1"/>
  <c r="B7" i="12"/>
  <c r="B15" i="12"/>
  <c r="B23" i="12"/>
  <c r="O23" i="12" s="1"/>
  <c r="B31" i="12"/>
  <c r="B39" i="12"/>
  <c r="O39" i="12" s="1"/>
  <c r="B8" i="12"/>
  <c r="B16" i="12"/>
  <c r="O16" i="12" s="1"/>
  <c r="B24" i="12"/>
  <c r="O24" i="12" s="1"/>
  <c r="B32" i="12"/>
  <c r="O32" i="12" s="1"/>
  <c r="B40" i="12"/>
  <c r="O40" i="12" s="1"/>
  <c r="B9" i="12"/>
  <c r="B17" i="12"/>
  <c r="O17" i="12" s="1"/>
  <c r="B25" i="12"/>
  <c r="O25" i="12" s="1"/>
  <c r="B33" i="12"/>
  <c r="O33" i="12" s="1"/>
  <c r="B41" i="12"/>
  <c r="O41" i="12" s="1"/>
  <c r="B10" i="12"/>
  <c r="B18" i="12"/>
  <c r="O18" i="12" s="1"/>
  <c r="B26" i="12"/>
  <c r="O26" i="12" s="1"/>
  <c r="B34" i="12"/>
  <c r="O34" i="12" s="1"/>
  <c r="B42" i="12"/>
  <c r="O42" i="12" s="1"/>
  <c r="B11" i="12"/>
  <c r="B19" i="12"/>
  <c r="B27" i="12"/>
  <c r="O27" i="12" s="1"/>
  <c r="B35" i="12"/>
  <c r="O35" i="12" s="1"/>
  <c r="O31" i="12" l="1"/>
  <c r="P31" i="12" s="1"/>
  <c r="O12" i="12"/>
  <c r="P12" i="12" s="1"/>
  <c r="O19" i="12"/>
  <c r="P19" i="12" s="1"/>
  <c r="O15" i="12"/>
  <c r="P15" i="12" s="1"/>
  <c r="O30" i="12"/>
  <c r="P30" i="12" s="1"/>
  <c r="B21" i="17"/>
  <c r="O37" i="12"/>
  <c r="P37" i="12" s="1"/>
  <c r="O20" i="12"/>
  <c r="P20" i="12" s="1"/>
  <c r="O10" i="12"/>
  <c r="P10" i="12" s="1"/>
  <c r="O8" i="12"/>
  <c r="O6" i="12"/>
  <c r="O8" i="13" s="1"/>
  <c r="O11" i="12"/>
  <c r="O13" i="12"/>
  <c r="P13" i="12" s="1"/>
  <c r="O9" i="12"/>
  <c r="P9" i="12" s="1"/>
  <c r="O7" i="12"/>
  <c r="P7" i="12" s="1"/>
  <c r="O5" i="12"/>
  <c r="I8" i="13" s="1"/>
  <c r="P35" i="12"/>
  <c r="P33" i="12"/>
  <c r="P40" i="12"/>
  <c r="P38" i="12"/>
  <c r="P34" i="12"/>
  <c r="P32" i="12"/>
  <c r="P27" i="12"/>
  <c r="P41" i="12"/>
  <c r="P39" i="12"/>
  <c r="P29" i="12"/>
  <c r="P36" i="12"/>
  <c r="P18" i="12"/>
  <c r="P17" i="12"/>
  <c r="P16" i="12"/>
  <c r="P14" i="12"/>
  <c r="P4" i="12"/>
  <c r="E8" i="13" s="1"/>
  <c r="P42" i="12"/>
  <c r="P26" i="12"/>
  <c r="P25" i="12"/>
  <c r="P24" i="12"/>
  <c r="P23" i="12"/>
  <c r="P22" i="12"/>
  <c r="P21" i="12"/>
  <c r="P28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2" i="17" s="1"/>
  <c r="P11" i="12" l="1"/>
  <c r="K22" i="13" s="1"/>
  <c r="I22" i="13"/>
  <c r="P8" i="12"/>
  <c r="E22" i="13" s="1"/>
  <c r="C22" i="13"/>
  <c r="P5" i="12"/>
  <c r="K8" i="13" s="1"/>
  <c r="P6" i="12"/>
  <c r="Q8" i="13" s="1"/>
  <c r="R14" i="10"/>
  <c r="R12" i="10"/>
  <c r="R11" i="10"/>
  <c r="R13" i="10"/>
  <c r="B22" i="17"/>
  <c r="M17" i="10"/>
  <c r="M12" i="10"/>
  <c r="M16" i="10"/>
  <c r="M14" i="10"/>
  <c r="O5" i="10"/>
  <c r="M15" i="10"/>
  <c r="S16" i="5" l="1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5" i="3"/>
  <c r="M14" i="3"/>
  <c r="M13" i="3"/>
  <c r="M12" i="3"/>
  <c r="N15" i="3"/>
  <c r="N14" i="3"/>
  <c r="N13" i="3"/>
  <c r="N12" i="3"/>
  <c r="E31" i="2" l="1"/>
  <c r="O13" i="3"/>
  <c r="O11" i="3"/>
  <c r="O14" i="3"/>
  <c r="O15" i="3"/>
  <c r="O12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M28" i="8"/>
  <c r="N39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P63" i="8"/>
  <c r="P49" i="8"/>
  <c r="P77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U28" i="8" s="1"/>
  <c r="E34" i="8"/>
  <c r="U34" i="8" s="1"/>
  <c r="E47" i="8"/>
  <c r="U47" i="8" s="1"/>
  <c r="E53" i="8"/>
  <c r="U53" i="8" s="1"/>
  <c r="E60" i="8"/>
  <c r="U60" i="8" s="1"/>
  <c r="E66" i="8"/>
  <c r="U66" i="8" s="1"/>
  <c r="E79" i="8"/>
  <c r="U79" i="8" s="1"/>
  <c r="F4" i="8"/>
  <c r="F12" i="8"/>
  <c r="F20" i="8"/>
  <c r="F28" i="8"/>
  <c r="F36" i="8"/>
  <c r="F44" i="8"/>
  <c r="F52" i="8"/>
  <c r="F60" i="8"/>
  <c r="F68" i="8"/>
  <c r="F76" i="8"/>
  <c r="O25" i="8"/>
  <c r="O61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U35" i="8" s="1"/>
  <c r="E41" i="8"/>
  <c r="U41" i="8" s="1"/>
  <c r="E48" i="8"/>
  <c r="U48" i="8" s="1"/>
  <c r="E54" i="8"/>
  <c r="U54" i="8" s="1"/>
  <c r="E67" i="8"/>
  <c r="U67" i="8" s="1"/>
  <c r="E73" i="8"/>
  <c r="U73" i="8" s="1"/>
  <c r="E80" i="8"/>
  <c r="U80" i="8" s="1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U33" i="8" s="1"/>
  <c r="E78" i="8"/>
  <c r="U78" i="8" s="1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U23" i="8" s="1"/>
  <c r="E29" i="8"/>
  <c r="U29" i="8" s="1"/>
  <c r="E36" i="8"/>
  <c r="U36" i="8" s="1"/>
  <c r="E42" i="8"/>
  <c r="U42" i="8" s="1"/>
  <c r="E55" i="8"/>
  <c r="U55" i="8" s="1"/>
  <c r="E61" i="8"/>
  <c r="U61" i="8" s="1"/>
  <c r="E68" i="8"/>
  <c r="U68" i="8" s="1"/>
  <c r="E74" i="8"/>
  <c r="U74" i="8" s="1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U65" i="8" s="1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U24" i="8" s="1"/>
  <c r="E30" i="8"/>
  <c r="U30" i="8" s="1"/>
  <c r="E43" i="8"/>
  <c r="U43" i="8" s="1"/>
  <c r="E49" i="8"/>
  <c r="U49" i="8" s="1"/>
  <c r="E56" i="8"/>
  <c r="U56" i="8" s="1"/>
  <c r="E62" i="8"/>
  <c r="U62" i="8" s="1"/>
  <c r="E75" i="8"/>
  <c r="U75" i="8" s="1"/>
  <c r="E81" i="8"/>
  <c r="U81" i="8" s="1"/>
  <c r="F7" i="8"/>
  <c r="F15" i="8"/>
  <c r="F23" i="8"/>
  <c r="F31" i="8"/>
  <c r="F39" i="8"/>
  <c r="F47" i="8"/>
  <c r="F55" i="8"/>
  <c r="F63" i="8"/>
  <c r="F71" i="8"/>
  <c r="F79" i="8"/>
  <c r="F73" i="8"/>
  <c r="O9" i="8"/>
  <c r="O65" i="8"/>
  <c r="E27" i="8"/>
  <c r="U27" i="8" s="1"/>
  <c r="E72" i="8"/>
  <c r="U72" i="8" s="1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U31" i="8" s="1"/>
  <c r="E37" i="8"/>
  <c r="U37" i="8" s="1"/>
  <c r="E44" i="8"/>
  <c r="U44" i="8" s="1"/>
  <c r="E50" i="8"/>
  <c r="U50" i="8" s="1"/>
  <c r="E63" i="8"/>
  <c r="U63" i="8" s="1"/>
  <c r="E69" i="8"/>
  <c r="U69" i="8" s="1"/>
  <c r="E76" i="8"/>
  <c r="U76" i="8" s="1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U46" i="8" s="1"/>
  <c r="F19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U25" i="8" s="1"/>
  <c r="E32" i="8"/>
  <c r="U32" i="8" s="1"/>
  <c r="E38" i="8"/>
  <c r="U38" i="8" s="1"/>
  <c r="E51" i="8"/>
  <c r="U51" i="8" s="1"/>
  <c r="E57" i="8"/>
  <c r="U57" i="8" s="1"/>
  <c r="E64" i="8"/>
  <c r="U64" i="8" s="1"/>
  <c r="E70" i="8"/>
  <c r="U70" i="8" s="1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U59" i="8" s="1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U26" i="8" s="1"/>
  <c r="E39" i="8"/>
  <c r="U39" i="8" s="1"/>
  <c r="E45" i="8"/>
  <c r="U45" i="8" s="1"/>
  <c r="E52" i="8"/>
  <c r="U52" i="8" s="1"/>
  <c r="E58" i="8"/>
  <c r="U58" i="8" s="1"/>
  <c r="E71" i="8"/>
  <c r="U71" i="8" s="1"/>
  <c r="E77" i="8"/>
  <c r="U77" i="8" s="1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U40" i="8" s="1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5" i="8" l="1"/>
  <c r="U17" i="8"/>
  <c r="U8" i="8"/>
  <c r="U21" i="8"/>
  <c r="U11" i="8"/>
  <c r="U15" i="8"/>
  <c r="U20" i="8"/>
  <c r="U13" i="8"/>
  <c r="U18" i="8"/>
  <c r="U4" i="8"/>
  <c r="U3" i="8"/>
  <c r="U7" i="8"/>
  <c r="U14" i="8"/>
  <c r="U12" i="8"/>
  <c r="U22" i="8"/>
  <c r="U16" i="8"/>
  <c r="U6" i="8"/>
  <c r="U19" i="8"/>
  <c r="U10" i="8"/>
  <c r="U9" i="8"/>
  <c r="H79" i="8"/>
  <c r="R79" i="8" s="1"/>
  <c r="T79" i="8" s="1"/>
  <c r="H82" i="8"/>
  <c r="R82" i="8" s="1"/>
  <c r="T82" i="8" s="1"/>
  <c r="H72" i="8"/>
  <c r="R72" i="8" s="1"/>
  <c r="T72" i="8" s="1"/>
  <c r="H76" i="8"/>
  <c r="R76" i="8" s="1"/>
  <c r="T76" i="8" s="1"/>
  <c r="H81" i="8"/>
  <c r="R81" i="8" s="1"/>
  <c r="T81" i="8" s="1"/>
  <c r="H77" i="8"/>
  <c r="R77" i="8" s="1"/>
  <c r="T77" i="8" s="1"/>
  <c r="S4" i="3"/>
  <c r="H75" i="8"/>
  <c r="H19" i="8"/>
  <c r="R19" i="8" s="1"/>
  <c r="H10" i="8"/>
  <c r="R10" i="8" s="1"/>
  <c r="H67" i="8"/>
  <c r="R67" i="8" s="1"/>
  <c r="T67" i="8" s="1"/>
  <c r="H23" i="8"/>
  <c r="R23" i="8" s="1"/>
  <c r="T23" i="8" s="1"/>
  <c r="H14" i="8"/>
  <c r="R14" i="8" s="1"/>
  <c r="H13" i="8"/>
  <c r="R13" i="8" s="1"/>
  <c r="H15" i="8"/>
  <c r="R15" i="8" s="1"/>
  <c r="H6" i="8"/>
  <c r="R6" i="8" s="1"/>
  <c r="H11" i="8"/>
  <c r="R11" i="8" s="1"/>
  <c r="H24" i="8"/>
  <c r="R24" i="8" s="1"/>
  <c r="T24" i="8" s="1"/>
  <c r="H7" i="8"/>
  <c r="R7" i="8" s="1"/>
  <c r="H80" i="8"/>
  <c r="R80" i="8" s="1"/>
  <c r="T80" i="8" s="1"/>
  <c r="H20" i="8"/>
  <c r="R20" i="8" s="1"/>
  <c r="H16" i="8"/>
  <c r="R16" i="8" s="1"/>
  <c r="H12" i="8"/>
  <c r="R12" i="8" s="1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T73" i="8" s="1"/>
  <c r="H63" i="8"/>
  <c r="R63" i="8" s="1"/>
  <c r="T63" i="8" s="1"/>
  <c r="H9" i="8"/>
  <c r="R9" i="8" s="1"/>
  <c r="H22" i="8"/>
  <c r="R22" i="8" s="1"/>
  <c r="H61" i="8"/>
  <c r="R61" i="8" s="1"/>
  <c r="T61" i="8" s="1"/>
  <c r="H18" i="8"/>
  <c r="R18" i="8" s="1"/>
  <c r="R68" i="8"/>
  <c r="T68" i="8" s="1"/>
  <c r="R71" i="8"/>
  <c r="T71" i="8" s="1"/>
  <c r="R62" i="8"/>
  <c r="T62" i="8" s="1"/>
  <c r="R36" i="8"/>
  <c r="T36" i="8" s="1"/>
  <c r="R52" i="8"/>
  <c r="T52" i="8" s="1"/>
  <c r="R65" i="8"/>
  <c r="T65" i="8" s="1"/>
  <c r="R74" i="8"/>
  <c r="T74" i="8" s="1"/>
  <c r="R44" i="8"/>
  <c r="T44" i="8" s="1"/>
  <c r="R75" i="8"/>
  <c r="T75" i="8" s="1"/>
  <c r="R28" i="8"/>
  <c r="T28" i="8" s="1"/>
  <c r="R78" i="8"/>
  <c r="T78" i="8" s="1"/>
  <c r="R70" i="8"/>
  <c r="T70" i="8" s="1"/>
  <c r="R64" i="8"/>
  <c r="T64" i="8" s="1"/>
  <c r="R53" i="8"/>
  <c r="T53" i="8" s="1"/>
  <c r="R29" i="8"/>
  <c r="T29" i="8" s="1"/>
  <c r="B19" i="17"/>
  <c r="A24" i="17" s="1"/>
  <c r="R60" i="8"/>
  <c r="T60" i="8" s="1"/>
  <c r="R31" i="8"/>
  <c r="T31" i="8" s="1"/>
  <c r="R66" i="8"/>
  <c r="T66" i="8" s="1"/>
  <c r="R58" i="8"/>
  <c r="T58" i="8" s="1"/>
  <c r="R46" i="8"/>
  <c r="T46" i="8" s="1"/>
  <c r="R30" i="8"/>
  <c r="T30" i="8" s="1"/>
  <c r="R42" i="8"/>
  <c r="T42" i="8" s="1"/>
  <c r="R43" i="8"/>
  <c r="T43" i="8" s="1"/>
  <c r="R55" i="8"/>
  <c r="T55" i="8" s="1"/>
  <c r="R57" i="8"/>
  <c r="T57" i="8" s="1"/>
  <c r="R49" i="8"/>
  <c r="T49" i="8" s="1"/>
  <c r="R33" i="8"/>
  <c r="T33" i="8" s="1"/>
  <c r="R54" i="8"/>
  <c r="T54" i="8" s="1"/>
  <c r="R45" i="8"/>
  <c r="T45" i="8" s="1"/>
  <c r="R47" i="8"/>
  <c r="T47" i="8" s="1"/>
  <c r="R39" i="8"/>
  <c r="T39" i="8" s="1"/>
  <c r="R37" i="8"/>
  <c r="T37" i="8" s="1"/>
  <c r="R50" i="8"/>
  <c r="T50" i="8" s="1"/>
  <c r="R38" i="8"/>
  <c r="T38" i="8" s="1"/>
  <c r="R27" i="8"/>
  <c r="T27" i="8" s="1"/>
  <c r="R48" i="8"/>
  <c r="T48" i="8" s="1"/>
  <c r="R59" i="8"/>
  <c r="T59" i="8" s="1"/>
  <c r="R41" i="8"/>
  <c r="T41" i="8" s="1"/>
  <c r="R25" i="8"/>
  <c r="T25" i="8" s="1"/>
  <c r="R69" i="8"/>
  <c r="T69" i="8" s="1"/>
  <c r="R32" i="8"/>
  <c r="T32" i="8" s="1"/>
  <c r="R51" i="8"/>
  <c r="T51" i="8" s="1"/>
  <c r="R35" i="8"/>
  <c r="T35" i="8" s="1"/>
  <c r="R26" i="8"/>
  <c r="T26" i="8" s="1"/>
  <c r="R56" i="8"/>
  <c r="T56" i="8" s="1"/>
  <c r="R34" i="8"/>
  <c r="T34" i="8" s="1"/>
  <c r="R40" i="8"/>
  <c r="T40" i="8" s="1"/>
  <c r="Q4" i="3" l="1"/>
  <c r="H3" i="8" l="1"/>
  <c r="R3" i="8" s="1"/>
  <c r="T3" i="8" l="1"/>
  <c r="T21" i="8"/>
  <c r="T4" i="8"/>
  <c r="T6" i="8"/>
  <c r="T20" i="8"/>
  <c r="T12" i="8"/>
  <c r="T18" i="8"/>
  <c r="T13" i="8"/>
  <c r="T7" i="8"/>
  <c r="T9" i="8"/>
  <c r="T14" i="8"/>
  <c r="A2" i="7" s="1"/>
  <c r="T19" i="8"/>
  <c r="V26" i="8" s="1"/>
  <c r="T22" i="8"/>
  <c r="T8" i="8"/>
  <c r="T16" i="8"/>
  <c r="T10" i="8"/>
  <c r="T11" i="8"/>
  <c r="T15" i="8"/>
  <c r="T17" i="8"/>
  <c r="T5" i="8"/>
  <c r="F2" i="7" l="1"/>
  <c r="V4" i="8"/>
  <c r="L7" i="7"/>
  <c r="V6" i="8"/>
  <c r="B6" i="7"/>
  <c r="L6" i="7"/>
  <c r="V3" i="8"/>
  <c r="I6" i="7"/>
  <c r="G6" i="7"/>
  <c r="G4" i="7"/>
  <c r="K2" i="7"/>
  <c r="B4" i="7"/>
  <c r="D7" i="7" s="1"/>
  <c r="B5" i="7"/>
  <c r="B7" i="7"/>
  <c r="L4" i="7"/>
  <c r="L5" i="7"/>
  <c r="N4" i="7"/>
  <c r="N6" i="7"/>
  <c r="V13" i="8"/>
  <c r="G5" i="7"/>
  <c r="V7" i="8"/>
  <c r="I4" i="7"/>
  <c r="I5" i="7"/>
  <c r="V14" i="8"/>
  <c r="D4" i="7"/>
  <c r="N5" i="7"/>
  <c r="V16" i="8"/>
  <c r="V18" i="8"/>
  <c r="G7" i="7"/>
  <c r="I7" i="7" s="1"/>
  <c r="D6" i="7"/>
  <c r="D5" i="7"/>
  <c r="V20" i="8"/>
  <c r="V27" i="8"/>
  <c r="V30" i="8"/>
  <c r="V32" i="8"/>
  <c r="V31" i="8"/>
  <c r="V25" i="8"/>
  <c r="V9" i="8"/>
  <c r="V28" i="8"/>
  <c r="V15" i="8"/>
  <c r="V12" i="8"/>
  <c r="V11" i="8"/>
  <c r="V21" i="8"/>
  <c r="V10" i="8"/>
  <c r="V8" i="8"/>
  <c r="V22" i="8"/>
  <c r="V24" i="8"/>
  <c r="V5" i="8"/>
  <c r="V19" i="8"/>
  <c r="V23" i="8"/>
  <c r="V17" i="8"/>
  <c r="V33" i="8"/>
  <c r="V29" i="8"/>
  <c r="N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<sst xmlns="http://schemas.openxmlformats.org/spreadsheetml/2006/main" count="848" uniqueCount="468">
  <si>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</si>
  <si>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</si>
  <si>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</si>
  <si>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</si>
  <si>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</si>
  <si>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</si>
  <si>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</si>
  <si>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</si>
  <si>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</si>
  <si>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</si>
  <si>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</si>
  <si>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</si>
  <si>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</si>
  <si>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</si>
  <si>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</si>
  <si>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</si>
  <si>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포스팅 발행 수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</si>
  <si>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</si>
  <si>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</si>
  <si>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</si>
  <si>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</si>
  <si>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</si>
  <si>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</si>
  <si>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</si>
  <si>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</si>
  <si>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</si>
  <si>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</si>
  <si>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</si>
  <si>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</si>
  <si>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</si>
  <si>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</si>
  <si>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</si>
  <si>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</si>
  <si>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</si>
  <si>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</si>
  <si>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</si>
  <si>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</si>
  <si>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</si>
  <si>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</si>
  <si>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</si>
  <si>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</si>
  <si>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</si>
  <si>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</si>
  <si>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</si>
  <si>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</si>
  <si>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</si>
  <si>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</si>
  <si>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</si>
  <si>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</si>
  <si>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</si>
  <si>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</si>
  <si>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</si>
  <si>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</si>
  <si>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</si>
  <si>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</si>
  <si>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</si>
  <si>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</si>
  <si>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</si>
  <si>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</si>
  <si>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</si>
  <si>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</si>
  <si>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</si>
  <si>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</si>
  <si>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</si>
  <si>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</si>
  <si>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</si>
  <si>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</si>
  <si>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</si>
  <si>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</si>
  <si>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</si>
  <si>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</si>
  <si>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</si>
  <si>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</si>
  <si>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</si>
  <si>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</si>
  <si>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</si>
  <si>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도달</t>
    <phoneticPr fontId="1" type="noConversion"/>
  </si>
  <si>
    <t>좋아요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</si>
  <si>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</si>
  <si>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</si>
  <si>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</si>
  <si>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</si>
  <si>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</si>
  <si>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</si>
  <si>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</si>
  <si>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</si>
  <si>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</si>
  <si>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</si>
  <si>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</si>
  <si>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</si>
  <si>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</si>
  <si>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</si>
  <si>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</si>
  <si>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</si>
  <si>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</si>
  <si>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</si>
  <si>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</si>
  <si>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</si>
  <si>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</si>
  <si>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</si>
  <si>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</si>
  <si>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</si>
  <si>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</si>
  <si>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</si>
  <si>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</si>
  <si>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</si>
  <si>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</si>
  <si>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</si>
  <si>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</si>
  <si>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</si>
  <si>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</si>
  <si>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</si>
  <si>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</si>
  <si>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</si>
  <si>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</si>
  <si>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</si>
  <si>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</si>
  <si>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</si>
  <si>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</si>
  <si>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</si>
  <si>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</si>
  <si>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</si>
  <si>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</si>
  <si>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</si>
  <si>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</si>
  <si>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</si>
  <si>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</si>
  <si>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</si>
  <si>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</si>
  <si>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</si>
  <si>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</si>
  <si>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</si>
  <si>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</si>
  <si>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</si>
  <si>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</si>
  <si>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</si>
  <si>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</si>
  <si>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</si>
  <si>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</si>
  <si>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</si>
  <si>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</si>
  <si>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</si>
  <si>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</si>
  <si>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</si>
  <si>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</si>
  <si>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</si>
  <si>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</si>
  <si>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</si>
  <si>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</si>
  <si>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</si>
  <si>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</si>
  <si>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</si>
  <si>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</si>
  <si>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</si>
  <si>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</si>
  <si>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</si>
  <si>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</si>
  <si>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</si>
  <si>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</si>
  <si>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</si>
  <si>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</si>
  <si>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</si>
  <si>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</si>
  <si>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</si>
  <si>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</si>
  <si>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</si>
  <si>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</si>
  <si>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</si>
  <si>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</si>
  <si>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</si>
  <si>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</si>
  <si>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</si>
  <si>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</si>
  <si>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</si>
  <si>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</si>
  <si>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</si>
  <si>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</si>
  <si>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</si>
  <si>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</si>
  <si>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</si>
  <si>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</si>
  <si>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</si>
  <si>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</si>
  <si>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</si>
  <si>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</si>
  <si>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</si>
  <si>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</si>
  <si>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</si>
  <si>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</si>
  <si>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</si>
  <si>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</si>
  <si>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</si>
  <si>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</si>
  <si>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</si>
  <si>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</si>
  <si>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</si>
  <si>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</si>
  <si>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</si>
  <si>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</si>
  <si>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</si>
  <si>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5월</t>
  </si>
  <si>
    <t>SK이노베이션</t>
  </si>
  <si>
    <t>IG 스토리</t>
  </si>
  <si>
    <t>6월</t>
  </si>
  <si>
    <t>평균 재생 시간</t>
    <phoneticPr fontId="1" type="noConversion"/>
  </si>
  <si>
    <t>저장TOP1</t>
    <phoneticPr fontId="1" type="noConversion"/>
  </si>
  <si>
    <t>재생횟수TOP1</t>
    <phoneticPr fontId="1" type="noConversion"/>
  </si>
  <si>
    <t>7월</t>
  </si>
  <si>
    <t>IG 슬라이드</t>
  </si>
  <si>
    <t xml:space="preserve">1) 위의 작성 전 실행 버튼을 클릭하시오. </t>
    <phoneticPr fontId="1" type="noConversion"/>
  </si>
  <si>
    <t>데일리 슼슼 - 우산</t>
  </si>
  <si>
    <t>https://www.facebook.com/official.skinnovation/posts/pfbid0oceKbMTvt9ZZAjTaSacc6QQN2M3rYKF61xMDpipFjK4XZXmTxdhwLTr88LAirXvl</t>
  </si>
  <si>
    <t>이노드림(게오르크 빌헬름 프리드리히 헤겔)</t>
  </si>
  <si>
    <t>https://www.facebook.com/official.skinnovation/posts/pfbid0FnPeGCWJ9HBYD8162U5g7131sXuahGgBjsAYqdbSkMKKsdxfmGRq47CiBVxP7UDal</t>
  </si>
  <si>
    <t>이노 백과사전 - SAF</t>
  </si>
  <si>
    <t>https://www.facebook.com/official.skinnovation/posts/pfbid02cvAVPikYjPRSahb1h9Z1C48dvMWtvJfbGBzoesWBqo7VVWPkucZq8E6aqmh1g2Yvl</t>
  </si>
  <si>
    <t>이야기를 걷다 Ep. 시장</t>
  </si>
  <si>
    <t>https://www.facebook.com/official.skinnovation/videos/1518123052123392/</t>
  </si>
  <si>
    <t>일상 속 석유화학 - 폴리카보네이트 렌즈 *뉴스룸 미러링</t>
  </si>
  <si>
    <t>https://www.facebook.com/official.skinnovation/posts/pfbid09okwEvydW36hVQ2uXNgmaGacC2wxydwiLxjhqidYMFu7mG6aUcbMXFhmgFbvyAiil</t>
  </si>
  <si>
    <t>이노드림(장 피아제)</t>
  </si>
  <si>
    <t>https://www.facebook.com/official.skinnovation/posts/pfbid02dg4qHC9wwRphjBtCtJM5PxJ8YUrpc4MQcSnfEEiXEzwdZaMDMtyAp4m7uypUKuthl</t>
  </si>
  <si>
    <t>데일리 슼슼 - 캐리어</t>
  </si>
  <si>
    <t>https://www.facebook.com/official.skinnovation/posts/pfbid0M6N3mirk9XtruLScYiANLMkkkwWffMWTC8Kp39w41NUm6jCvKXRPBk7D3hxHcdaul</t>
  </si>
  <si>
    <t>광복절 기념 콘텐츠</t>
  </si>
  <si>
    <t>https://www.facebook.com/official.skinnovation/posts/pfbid0ZicmUcMcs1ugQ4L59iYag3kJg3SysXwZLq5Y6aumrBvcLgYnZymKrNxksRc5ncuWl</t>
  </si>
  <si>
    <t>이노드림(요한 고트프리트 헤르더)</t>
  </si>
  <si>
    <t>https://www.facebook.com/official.skinnovation/posts/pfbid0a4PFmHxpu64TBEsuZmWtbiNkf4hfv26qjg9zrLnvzqDv1qWfvpCUvyo7TnV7SQdml</t>
  </si>
  <si>
    <t>슼-떠나요 Ep. 헝가리</t>
  </si>
  <si>
    <t>https://www.facebook.com/official.skinnovation/videos/982699320270238/</t>
  </si>
  <si>
    <t>에너지食 Ep. 3</t>
  </si>
  <si>
    <t>https://www.facebook.com/official.skinnovation/posts/pfbid08Za3Cy6brA9Ndx1oTz1qkh24JHLPSeNKdvnXnb3FNUmbshL9eL3eSmLX9wzuQs5xl</t>
  </si>
  <si>
    <t>[EVENT] 에너지食 Ep. 3</t>
  </si>
  <si>
    <t>https://www.facebook.com/official.skinnovation/posts/pfbid02FYdUZSWXjsiTATKkKx59NpgjU6hsc9PADaZczopnXy6yML5jqcWpKyxvL669VMVYl</t>
  </si>
  <si>
    <t>이노드림(요한 볼프강 폰 괴테)</t>
  </si>
  <si>
    <t>https://www.facebook.com/official.skinnovation/posts/pfbid02JPyS8HBKHkJJ6ABVdVS47SZhhLnhhWr93Gzyaqt6JwtXm1DJd5PUHqiGDHiTp2iHl</t>
  </si>
  <si>
    <t>2024 울산포럼 홍보 영상</t>
  </si>
  <si>
    <t>https://www.facebook.com/official.skinnovation/videos/2454233818114575/</t>
  </si>
  <si>
    <t>행복 Dream 도서관 (세이브더칠드런 게시물 공유)</t>
  </si>
  <si>
    <t>https://www.facebook.com/official.skinnovation/posts/pfbid0ho26KrQze6KPvhrFzSt2Msf2MxWu1SnMnCV1fnBgEMcHV8RNZ5LdC14tX1DfE4mol</t>
  </si>
  <si>
    <t>8월</t>
  </si>
  <si>
    <t>가장 위험한 시트</t>
    <phoneticPr fontId="1" type="noConversion"/>
  </si>
  <si>
    <t>#제작자노트</t>
    <phoneticPr fontId="1" type="noConversion"/>
  </si>
  <si>
    <t>https://www.instagram.com/p/C-Jb4HOyq7n/</t>
  </si>
  <si>
    <t>https://www.instagram.com/p/C-RN4fsyeET/</t>
  </si>
  <si>
    <t>https://www.instagram.com/p/C-TukFTyrX2/</t>
  </si>
  <si>
    <t>https://www.instagram.com/reel/C-WcOSEyCxe/</t>
  </si>
  <si>
    <t>4초</t>
  </si>
  <si>
    <t>https://www.instagram.com/p/C-jPpRcvZGw/</t>
  </si>
  <si>
    <t>https://www.instagram.com/p/C-mdos0R4Zm/</t>
  </si>
  <si>
    <t>https://www.instagram.com/p/C-q91hzMGDu/</t>
  </si>
  <si>
    <t>https://www.instagram.com/p/C-1RA7tSbhp/</t>
  </si>
  <si>
    <t>https://www.instagram.com/reel/C-4p4udtWhU/</t>
  </si>
  <si>
    <t>6초</t>
  </si>
  <si>
    <t>https://www.instagram.com/p/C-_kLRgSbw8/</t>
  </si>
  <si>
    <t>https://www.instagram.com/p/C_HStKTSqaj/</t>
  </si>
  <si>
    <t>https://www.instagram.com/reel/C_IU59VS0XT/</t>
  </si>
  <si>
    <t>7초</t>
  </si>
  <si>
    <t>행복 Dream 도서관 (세이브더칠드런 게시물 리그램)</t>
  </si>
  <si>
    <t>https://www.instagram.com/p/C_PBb2pyrUS/</t>
  </si>
  <si>
    <t>에너지食 Ep. 3 *뉴스룸 미러링</t>
  </si>
  <si>
    <t>페이지 도달</t>
  </si>
  <si>
    <t>페이지 참여</t>
  </si>
  <si>
    <t>페이지 참여율</t>
  </si>
  <si>
    <t>구분</t>
  </si>
  <si>
    <t>페이스북 팬 수</t>
  </si>
  <si>
    <t>신규 팔로워</t>
  </si>
  <si>
    <t>계정 도달</t>
  </si>
  <si>
    <t>계정 참여</t>
  </si>
  <si>
    <t>계정 참여율</t>
  </si>
  <si>
    <r>
      <t>2월 1일 기준 팬 수 325,213명으로 전월 대비</t>
    </r>
    <r>
      <rPr>
        <b/>
        <sz val="10"/>
        <color rgb="FF1F497D"/>
        <rFont val="Pretendard"/>
        <family val="3"/>
        <charset val="129"/>
      </rPr>
      <t xml:space="preserve"> 0.20% 감소</t>
    </r>
  </si>
  <si>
    <r>
      <t>-</t>
    </r>
    <r>
      <rPr>
        <sz val="10"/>
        <color rgb="FF000000"/>
        <rFont val="Pretendard"/>
        <family val="3"/>
        <charset val="129"/>
      </rPr>
      <t>1월 한 달간 페이지 방문 24,530 확보, 전월 대비</t>
    </r>
    <r>
      <rPr>
        <sz val="10"/>
        <color rgb="FFC00000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87.39%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</si>
  <si>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신규 좋아요 76 확보, 전월 대비 </t>
    </r>
    <r>
      <rPr>
        <b/>
        <sz val="10"/>
        <color rgb="FFC00000"/>
        <rFont val="Pretendard"/>
        <family val="3"/>
        <charset val="129"/>
      </rPr>
      <t>76.74%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</si>
  <si>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팔로워 이탈 480 발생, 전월 대비 </t>
    </r>
    <r>
      <rPr>
        <b/>
        <sz val="10"/>
        <color rgb="FFC00000"/>
        <rFont val="Pretendard"/>
        <family val="3"/>
        <charset val="129"/>
      </rPr>
      <t>8.57% 감소</t>
    </r>
  </si>
  <si>
    <r>
      <t xml:space="preserve">• </t>
    </r>
    <r>
      <rPr>
        <b/>
        <sz val="10"/>
        <color rgb="FF000000"/>
        <rFont val="Pretendard"/>
        <family val="3"/>
        <charset val="129"/>
      </rPr>
      <t>1월 콘텐츠 도달 399,275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15.79% 증가</t>
    </r>
    <r>
      <rPr>
        <b/>
        <sz val="10"/>
        <color rgb="FF1F497D"/>
        <rFont val="Pretendard"/>
        <family val="3"/>
        <charset val="129"/>
      </rPr>
      <t xml:space="preserve"> </t>
    </r>
    <r>
      <rPr>
        <sz val="8"/>
        <color rgb="FF000000"/>
        <rFont val="Pretendard"/>
        <family val="3"/>
        <charset val="129"/>
      </rPr>
      <t>*2023년 1월 ~2024년 1월 평균 콘텐츠 도달 312,233</t>
    </r>
  </si>
  <si>
    <r>
      <t>-</t>
    </r>
    <r>
      <rPr>
        <sz val="10"/>
        <color rgb="FF000000"/>
        <rFont val="Pretendard"/>
        <family val="3"/>
        <charset val="129"/>
      </rPr>
      <t xml:space="preserve">1월 콘텐츠 오가닉 도달 39,650으로 전월 대비 </t>
    </r>
    <r>
      <rPr>
        <b/>
        <sz val="10"/>
        <color rgb="FFC00000"/>
        <rFont val="Pretendard"/>
        <family val="3"/>
        <charset val="129"/>
      </rPr>
      <t>28.93%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</si>
  <si>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623,243으로 전월 대비 </t>
    </r>
    <r>
      <rPr>
        <b/>
        <sz val="10"/>
        <color rgb="FFC00000"/>
        <rFont val="Pretendard"/>
        <family val="3"/>
        <charset val="129"/>
      </rPr>
      <t>30.69%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</si>
  <si>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28,329로 전월 대비 </t>
    </r>
    <r>
      <rPr>
        <b/>
        <sz val="10"/>
        <color rgb="FFC00000"/>
        <rFont val="Pretendard"/>
        <family val="3"/>
        <charset val="129"/>
      </rPr>
      <t>12.87%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</si>
  <si>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 1월 한 달간 콘텐츠 인터랙션 15,303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48.10% 증가</t>
    </r>
  </si>
  <si>
    <t>링크 클릭 8,588회, 콘텐츠 조회 시간 51,476(분)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</si>
  <si>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1일 기준 팔로워 수 23,803명으로 전월 대비 </t>
    </r>
    <r>
      <rPr>
        <b/>
        <sz val="10"/>
        <color rgb="FF1F497D"/>
        <rFont val="Pretendard"/>
        <family val="3"/>
        <charset val="129"/>
      </rPr>
      <t>1.17% 감소</t>
    </r>
  </si>
  <si>
    <r>
      <t>-</t>
    </r>
    <r>
      <rPr>
        <sz val="10"/>
        <color rgb="FF000000"/>
        <rFont val="Pretendard"/>
        <family val="3"/>
        <charset val="129"/>
      </rPr>
      <t>신규 팔로워 184로 전월 대비</t>
    </r>
    <r>
      <rPr>
        <b/>
        <sz val="10"/>
        <color rgb="FF1F497D"/>
        <rFont val="Pretendard"/>
        <family val="3"/>
        <charset val="129"/>
      </rPr>
      <t xml:space="preserve"> 10.24% 감소</t>
    </r>
    <r>
      <rPr>
        <sz val="10"/>
        <color rgb="FF000000"/>
        <rFont val="Pretendard"/>
        <family val="3"/>
        <charset val="129"/>
      </rPr>
      <t>, 팔로워 이탈 458로 전월 대비 팔로워 이탈률</t>
    </r>
    <r>
      <rPr>
        <b/>
        <sz val="10"/>
        <color rgb="FFC00000"/>
        <rFont val="Pretendard"/>
        <family val="3"/>
        <charset val="129"/>
      </rPr>
      <t xml:space="preserve"> 5.57% 감소</t>
    </r>
  </si>
  <si>
    <r>
      <t>-</t>
    </r>
    <r>
      <rPr>
        <sz val="10"/>
        <color rgb="FF000000"/>
        <rFont val="Pretendard"/>
        <family val="3"/>
        <charset val="129"/>
      </rPr>
      <t xml:space="preserve">신규 프로필 방문 2,952로 전월 대비 </t>
    </r>
    <r>
      <rPr>
        <b/>
        <sz val="10"/>
        <color rgb="FF1F497D"/>
        <rFont val="Pretendard"/>
        <family val="3"/>
        <charset val="129"/>
      </rPr>
      <t>26.24% 감소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</si>
  <si>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도달 339,172 확보, 전월 대비 </t>
    </r>
    <r>
      <rPr>
        <b/>
        <sz val="10"/>
        <color rgb="FF1F497D"/>
        <rFont val="Pretendard"/>
        <family val="3"/>
        <charset val="129"/>
      </rPr>
      <t>12.94% 감소</t>
    </r>
    <r>
      <rPr>
        <sz val="10"/>
        <color rgb="FF000000"/>
        <rFont val="Pretendard"/>
        <family val="3"/>
        <charset val="129"/>
      </rPr>
      <t xml:space="preserve">, </t>
    </r>
    <r>
      <rPr>
        <sz val="8"/>
        <color rgb="FF000000"/>
        <rFont val="Pretendard"/>
        <family val="3"/>
        <charset val="129"/>
      </rPr>
      <t>*2023년 1월 ~12월 평균 콘텐츠 도달 534,100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</si>
  <si>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492,048로 전월 대비 </t>
    </r>
    <r>
      <rPr>
        <b/>
        <sz val="10"/>
        <color rgb="FF17375E"/>
        <rFont val="Pretendard"/>
        <family val="3"/>
        <charset val="129"/>
      </rPr>
      <t>8.44% 감소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</si>
  <si>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30,753으로 전월 대비 </t>
    </r>
    <r>
      <rPr>
        <b/>
        <sz val="10"/>
        <color rgb="FF17375E"/>
        <rFont val="Pretendard"/>
        <family val="3"/>
        <charset val="129"/>
      </rPr>
      <t>14.16% 감소</t>
    </r>
  </si>
  <si>
    <r>
      <t>à</t>
    </r>
    <r>
      <rPr>
        <sz val="10"/>
        <color rgb="FF000000"/>
        <rFont val="Pretendard"/>
        <family val="3"/>
        <charset val="129"/>
      </rPr>
      <t>기획 콘텐츠 개수는 증가했으나, 시즈널 및 이벤트 콘텐츠 개수가 감소한 영향으로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</si>
  <si>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참여 14,189으로 전월 대비 </t>
    </r>
    <r>
      <rPr>
        <b/>
        <sz val="10"/>
        <color rgb="FFC00000"/>
        <rFont val="Pretendard"/>
        <family val="3"/>
        <charset val="129"/>
      </rPr>
      <t xml:space="preserve">42.80% 증가, </t>
    </r>
    <r>
      <rPr>
        <b/>
        <sz val="10"/>
        <color rgb="FF000000"/>
        <rFont val="Pretendard"/>
        <family val="3"/>
        <charset val="129"/>
      </rPr>
      <t xml:space="preserve">참여 계정 또한 7,736으로 전월 대비 </t>
    </r>
    <r>
      <rPr>
        <b/>
        <sz val="10"/>
        <color rgb="FFC00000"/>
        <rFont val="Pretendard"/>
        <family val="3"/>
        <charset val="129"/>
      </rPr>
      <t>4.27% 증가</t>
    </r>
  </si>
  <si>
    <r>
      <t>-</t>
    </r>
    <r>
      <rPr>
        <sz val="10"/>
        <color rgb="FF000000"/>
        <rFont val="Pretendard"/>
        <family val="3"/>
        <charset val="129"/>
      </rPr>
      <t>포스트 통해 279, 릴스 통해 86 확보</t>
    </r>
  </si>
  <si>
    <r>
      <t xml:space="preserve">전월 대비 릴스 콘텐츠 평균 좋아요 개수가 38개 &gt; 40개로, </t>
    </r>
    <r>
      <rPr>
        <b/>
        <sz val="10"/>
        <color rgb="FF000000"/>
        <rFont val="Pretendard"/>
        <family val="3"/>
        <charset val="129"/>
      </rPr>
      <t>2개 증가</t>
    </r>
  </si>
  <si>
    <t>1월</t>
    <phoneticPr fontId="1" type="noConversion"/>
  </si>
  <si>
    <t>2월</t>
    <phoneticPr fontId="1" type="noConversion"/>
  </si>
  <si>
    <r>
      <t xml:space="preserve">2월 한 달간 콘텐츠 참여율 3.93% 확보, </t>
    </r>
    <r>
      <rPr>
        <b/>
        <sz val="10"/>
        <color rgb="FFC00000"/>
        <rFont val="Pretendard"/>
        <family val="3"/>
        <charset val="129"/>
      </rPr>
      <t>전월 대비 0.10% 증가</t>
    </r>
  </si>
  <si>
    <r>
      <t>-   링크 클릭 3,033회, 조회 시간 18,322 확보</t>
    </r>
    <r>
      <rPr>
        <b/>
        <sz val="10"/>
        <color rgb="FF000000"/>
        <rFont val="Pretendard"/>
        <family val="3"/>
        <charset val="129"/>
      </rPr>
      <t xml:space="preserve"> </t>
    </r>
  </si>
  <si>
    <r>
      <t xml:space="preserve">• 3월 1일 기준 팬 수 324,457명으로 전월 대비 </t>
    </r>
    <r>
      <rPr>
        <b/>
        <sz val="10"/>
        <color rgb="FF0070C0"/>
        <rFont val="Pretendard"/>
        <family val="3"/>
        <charset val="129"/>
      </rPr>
      <t>0.23% 감소</t>
    </r>
  </si>
  <si>
    <r>
      <t xml:space="preserve">-   2월 한 달간 페이지 방문 12,226 확보, 전월 대비 </t>
    </r>
    <r>
      <rPr>
        <sz val="10"/>
        <color rgb="FF0070C0"/>
        <rFont val="Pretendard"/>
        <family val="3"/>
        <charset val="129"/>
      </rPr>
      <t>50.16% 감소</t>
    </r>
  </si>
  <si>
    <r>
      <t xml:space="preserve">-   2월 한 달간 신규 팔로우 74 확보, 전월 대비 </t>
    </r>
    <r>
      <rPr>
        <sz val="10"/>
        <color rgb="FF0070C0"/>
        <rFont val="Pretendard"/>
        <family val="3"/>
        <charset val="129"/>
      </rPr>
      <t>44.36% 감소</t>
    </r>
  </si>
  <si>
    <r>
      <t xml:space="preserve">• 2월 콘텐츠 도달 173,174 확보, 전월 대비 </t>
    </r>
    <r>
      <rPr>
        <b/>
        <sz val="10"/>
        <color rgb="FF0070C0"/>
        <rFont val="Pretendard"/>
        <family val="3"/>
        <charset val="129"/>
      </rPr>
      <t xml:space="preserve">56.63% 감소,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36.23% 증가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</si>
  <si>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6,079로 전월 대비 </t>
    </r>
    <r>
      <rPr>
        <b/>
        <sz val="10"/>
        <color rgb="FFC00000"/>
        <rFont val="Pretendard"/>
        <family val="3"/>
        <charset val="129"/>
      </rPr>
      <t>44.98% 증가</t>
    </r>
  </si>
  <si>
    <t>→ 전월 대비 콘텐츠 발행 수 50%, 광고비 69.52% 감소했으나, 2월 발행 콘텐츠 오가닉 도달 증가해</t>
  </si>
  <si>
    <t>전체 콘텐츠 도달 감소 방어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</si>
  <si>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참여율 4.95% 확보, 전월 대비 </t>
    </r>
    <r>
      <rPr>
        <b/>
        <sz val="10"/>
        <color rgb="FFC00000"/>
        <rFont val="Pretendard"/>
        <family val="3"/>
        <charset val="129"/>
      </rPr>
      <t>0.77%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</si>
  <si>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609 확보 전월 대비 </t>
    </r>
    <r>
      <rPr>
        <sz val="10"/>
        <color rgb="FFC00000"/>
        <rFont val="Pretendard"/>
        <family val="3"/>
        <charset val="129"/>
      </rPr>
      <t>118.28% 증가</t>
    </r>
    <r>
      <rPr>
        <sz val="10"/>
        <color rgb="FF000000"/>
        <rFont val="Pretendard"/>
        <family val="3"/>
        <charset val="129"/>
      </rPr>
      <t>, 릴스 통해 198 확보</t>
    </r>
  </si>
  <si>
    <r>
      <t>-</t>
    </r>
    <r>
      <rPr>
        <sz val="10"/>
        <color rgb="FF000000"/>
        <rFont val="Pretendard"/>
        <family val="3"/>
        <charset val="129"/>
      </rPr>
      <t xml:space="preserve">전월 대비 링크 클릭 </t>
    </r>
    <r>
      <rPr>
        <sz val="10"/>
        <color rgb="FFC00000"/>
        <rFont val="Pretendard"/>
        <family val="3"/>
        <charset val="129"/>
      </rPr>
      <t>71.7%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</si>
  <si>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1일 기준 팔로워 수 23,534명으로 전월 대비 </t>
    </r>
    <r>
      <rPr>
        <b/>
        <sz val="10"/>
        <color rgb="FF1F497D"/>
        <rFont val="Pretendard"/>
        <family val="3"/>
        <charset val="129"/>
      </rPr>
      <t>1.13% 감소</t>
    </r>
  </si>
  <si>
    <r>
      <t>→ 팔로워 증가 위해 광고 집행 필수</t>
    </r>
    <r>
      <rPr>
        <sz val="10"/>
        <color rgb="FF000000"/>
        <rFont val="Pretendard"/>
        <family val="3"/>
        <charset val="129"/>
      </rPr>
      <t>, 2월 말 프로필 방문 광고 2건 추가 집행했을 때 일별 팔로우 증가 수치가 가장 두드러짐</t>
    </r>
  </si>
  <si>
    <r>
      <t>-</t>
    </r>
    <r>
      <rPr>
        <sz val="10"/>
        <color rgb="FF000000"/>
        <rFont val="Pretendard"/>
        <family val="3"/>
        <charset val="129"/>
      </rPr>
      <t>신규 팔로워 156으로 전월 대비</t>
    </r>
    <r>
      <rPr>
        <sz val="10"/>
        <color rgb="FF1F497D"/>
        <rFont val="Pretendard"/>
        <family val="3"/>
        <charset val="129"/>
      </rPr>
      <t xml:space="preserve"> 15.22% 감소</t>
    </r>
    <r>
      <rPr>
        <sz val="10"/>
        <color rgb="FF000000"/>
        <rFont val="Pretendard"/>
        <family val="3"/>
        <charset val="129"/>
      </rPr>
      <t xml:space="preserve">, 팔로워 이탈 429로 이탈 수치 꾸준히 감소 중 </t>
    </r>
    <r>
      <rPr>
        <sz val="8"/>
        <color rgb="FF000000"/>
        <rFont val="Pretendard"/>
        <family val="3"/>
        <charset val="129"/>
      </rPr>
      <t>(최근 3개월 각각 485, 458, 429 감소)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</si>
  <si>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도달 157,953 확보, 전월 대비 </t>
    </r>
    <r>
      <rPr>
        <b/>
        <sz val="10"/>
        <color rgb="FF1F497D"/>
        <rFont val="Pretendard"/>
        <family val="3"/>
        <charset val="129"/>
      </rPr>
      <t>53.43% 감소</t>
    </r>
    <r>
      <rPr>
        <sz val="10"/>
        <color rgb="FF000000"/>
        <rFont val="Pretendard"/>
        <family val="3"/>
        <charset val="129"/>
      </rPr>
      <t xml:space="preserve">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109.85% 증가</t>
    </r>
    <r>
      <rPr>
        <sz val="10"/>
        <color rgb="FF000000"/>
        <rFont val="Pretendard"/>
        <family val="3"/>
        <charset val="129"/>
      </rPr>
      <t xml:space="preserve"> 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</si>
  <si>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1,288 확보, 전월 대비 </t>
    </r>
    <r>
      <rPr>
        <sz val="10"/>
        <color rgb="FF1F497D"/>
        <rFont val="Pretendard"/>
        <family val="3"/>
        <charset val="129"/>
      </rPr>
      <t>0.4% 감소</t>
    </r>
  </si>
  <si>
    <t>→ 전월 대비 콘텐츠 발행 수 43.75%, 광고비 66.83% 감소했으나, 2월 발행 콘텐츠 오가닉 도달 큰 폭으로 감소하지 않아 전체 콘텐츠 도달 감소 방어</t>
  </si>
  <si>
    <t>3월</t>
    <phoneticPr fontId="1" type="noConversion"/>
  </si>
  <si>
    <r>
      <t xml:space="preserve">4월 1일 기준 팬 수 323,919명으로 전월 대비 </t>
    </r>
    <r>
      <rPr>
        <b/>
        <sz val="10"/>
        <color rgb="FF0070C0"/>
        <rFont val="Pretendard"/>
        <family val="3"/>
        <charset val="129"/>
      </rPr>
      <t>0.17% 감소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</si>
  <si>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새로운 팔로우 100 발생, 전월 대비 </t>
    </r>
    <r>
      <rPr>
        <sz val="10"/>
        <color rgb="FFC00000"/>
        <rFont val="Pretendard"/>
        <family val="3"/>
        <charset val="129"/>
      </rPr>
      <t>35.14%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</si>
  <si>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페이지 방문 10,145 확보, 전월 대비 </t>
    </r>
    <r>
      <rPr>
        <sz val="10"/>
        <color rgb="FF0070C0"/>
        <rFont val="Pretendard"/>
        <family val="3"/>
        <charset val="129"/>
      </rPr>
      <t>17.02% 감소</t>
    </r>
  </si>
  <si>
    <r>
      <t>-</t>
    </r>
    <r>
      <rPr>
        <sz val="10"/>
        <color rgb="FF000000"/>
        <rFont val="Pretendard"/>
        <family val="3"/>
        <charset val="129"/>
      </rPr>
      <t xml:space="preserve">최근 3개월간 팔로우 이탈 수치 지속 감소 중, 480 → 480 → 454 </t>
    </r>
  </si>
  <si>
    <r>
      <t xml:space="preserve">•  3월 콘텐츠 도달 199,557 확보, 전월 대비 </t>
    </r>
    <r>
      <rPr>
        <b/>
        <sz val="10"/>
        <color rgb="FFC00000"/>
        <rFont val="Pretendard"/>
        <family val="3"/>
        <charset val="129"/>
      </rPr>
      <t>15.23%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</si>
  <si>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발행 콘텐츠 도달 235,898로 전월 대비 </t>
    </r>
    <r>
      <rPr>
        <sz val="10"/>
        <color rgb="FFC00000"/>
        <rFont val="Pretendard"/>
        <family val="3"/>
        <charset val="129"/>
      </rPr>
      <t>3.23%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</si>
  <si>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콘텐츠 오가닉 도달 23,786로 전월 대비 </t>
    </r>
    <r>
      <rPr>
        <sz val="10"/>
        <color rgb="FF0070C0"/>
        <rFont val="Pretendard"/>
        <family val="3"/>
        <charset val="129"/>
      </rPr>
      <t>4.14% 감소</t>
    </r>
  </si>
  <si>
    <r>
      <t xml:space="preserve">•  3월 한 달간 콘텐츠 인터랙션 9,707 확보, 전월 대비 </t>
    </r>
    <r>
      <rPr>
        <b/>
        <sz val="10"/>
        <color rgb="FFC00000"/>
        <rFont val="Pretendard"/>
        <family val="3"/>
        <charset val="129"/>
      </rPr>
      <t>42.60% 증가</t>
    </r>
  </si>
  <si>
    <t>-   링크 클릭 2,306회, 콘텐츠 조회 시간 11,463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</si>
  <si>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4월 1일 기준 팔로워 수 24,159명으로 전월 대비 </t>
    </r>
    <r>
      <rPr>
        <b/>
        <sz val="10"/>
        <color rgb="FFC00000"/>
        <rFont val="Pretendard"/>
        <family val="3"/>
        <charset val="129"/>
      </rPr>
      <t>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</si>
  <si>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신규 팔로워 1,071 확보, 전월 대비 </t>
    </r>
    <r>
      <rPr>
        <sz val="10"/>
        <color rgb="FFC00000"/>
        <rFont val="Pretendard"/>
        <family val="3"/>
        <charset val="129"/>
      </rPr>
      <t>586.54%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</si>
  <si>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프로필 방문 4,353 확보, 전월 대비 </t>
    </r>
    <r>
      <rPr>
        <sz val="10"/>
        <color rgb="FFC00000"/>
        <rFont val="Pretendard"/>
        <family val="3"/>
        <charset val="129"/>
      </rPr>
      <t>67.36% 증가</t>
    </r>
  </si>
  <si>
    <t xml:space="preserve">      → 팔로워 증가 위해 EVENT 콘텐츠 집행과 앱 – 프로필 방문 광고 집행이 효과적이었던 것으로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</si>
  <si>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3월 콘텐츠 오가닉 도달 6,192 확보, 전월 대비 </t>
    </r>
    <r>
      <rPr>
        <b/>
        <sz val="10"/>
        <color rgb="FFC00000"/>
        <rFont val="Pretendard"/>
        <family val="3"/>
        <charset val="129"/>
      </rPr>
      <t>73.93%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</si>
  <si>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한 달간 콘텐츠 인터랙션 9,364 확보, 전월 대비 </t>
    </r>
    <r>
      <rPr>
        <b/>
        <sz val="10"/>
        <color rgb="FFC00000"/>
        <rFont val="Pretendard"/>
        <family val="3"/>
        <charset val="129"/>
      </rPr>
      <t>19.73%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</si>
  <si>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5,611 계정 참여, 전월 대비 </t>
    </r>
    <r>
      <rPr>
        <sz val="10"/>
        <color rgb="FFC00000"/>
        <rFont val="Pretendard"/>
        <family val="3"/>
        <charset val="129"/>
      </rPr>
      <t>21.06% 증가 + 팔로워 참여 비율 확대</t>
    </r>
  </si>
  <si>
    <t xml:space="preserve">      (전월 팔로워 참여 비율 4.7% vs. 3월 팔로워 참여 비율 24%)</t>
  </si>
  <si>
    <r>
      <t>-</t>
    </r>
    <r>
      <rPr>
        <sz val="10"/>
        <color rgb="FF000000"/>
        <rFont val="Pretendard"/>
        <family val="3"/>
        <charset val="129"/>
      </rPr>
      <t xml:space="preserve">링크 클릭 2,213 확보, 전월 대비 전월 대비 </t>
    </r>
    <r>
      <rPr>
        <sz val="10"/>
        <color rgb="FFC00000"/>
        <rFont val="Pretendard"/>
        <family val="3"/>
        <charset val="129"/>
      </rPr>
      <t>102.66%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</si>
  <si>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1,046, 릴스 통해  2,172 콘텐츠 인터랙션 확보, </t>
    </r>
    <r>
      <rPr>
        <sz val="10"/>
        <color rgb="FFC00000"/>
        <rFont val="Pretendard"/>
        <family val="3"/>
        <charset val="129"/>
      </rPr>
      <t>전월 대비 좋아요, 댓글, 저장 수치 모두 증가</t>
    </r>
  </si>
  <si>
    <t>4월</t>
    <phoneticPr fontId="1" type="noConversion"/>
  </si>
  <si>
    <r>
      <t xml:space="preserve">•  5월 1일 기준 팬 수 323,559명 기록, 전월 대비 </t>
    </r>
    <r>
      <rPr>
        <b/>
        <sz val="9"/>
        <color rgb="FF1F497D"/>
        <rFont val="Pretendard"/>
        <family val="3"/>
        <charset val="129"/>
      </rPr>
      <t>0.11%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</si>
  <si>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방문 15,870 달성, 전월 대비 </t>
    </r>
    <r>
      <rPr>
        <sz val="9"/>
        <color rgb="FFC00000"/>
        <rFont val="Pretendard"/>
        <family val="3"/>
        <charset val="129"/>
      </rPr>
      <t>56.43%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</si>
  <si>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팔로우 이탈 436 발생, 전월 대비 </t>
    </r>
    <r>
      <rPr>
        <sz val="9"/>
        <color rgb="FFC00000"/>
        <rFont val="Pretendard"/>
        <family val="3"/>
        <charset val="129"/>
      </rPr>
      <t>3.96% 감소</t>
    </r>
  </si>
  <si>
    <r>
      <t xml:space="preserve">• 4월 한 달간 페이지 도달 294,501 달성, 전월 대비 </t>
    </r>
    <r>
      <rPr>
        <b/>
        <sz val="9"/>
        <color rgb="FFC00000"/>
        <rFont val="Pretendard"/>
        <family val="3"/>
        <charset val="129"/>
      </rPr>
      <t>47.58%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</si>
  <si>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오가닉 도달 22,573 달성, 전월 대비 </t>
    </r>
    <r>
      <rPr>
        <sz val="9"/>
        <color rgb="FF1F497D"/>
        <rFont val="Pretendard"/>
        <family val="3"/>
        <charset val="129"/>
      </rPr>
      <t>5.1%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</si>
  <si>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도달 359,972 달성, 전월 대비 </t>
    </r>
    <r>
      <rPr>
        <sz val="9"/>
        <color rgb="FFC00000"/>
        <rFont val="Pretendard"/>
        <family val="3"/>
        <charset val="129"/>
      </rPr>
      <t>52.6%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</si>
  <si>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오가닉 도달 57,529 달성, 전월 대비 </t>
    </r>
    <r>
      <rPr>
        <sz val="9"/>
        <color rgb="FFC00000"/>
        <rFont val="Pretendard"/>
        <family val="3"/>
        <charset val="129"/>
      </rPr>
      <t>6.7%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</si>
  <si>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평균 도달 21,175 달성, 전월 대비 </t>
    </r>
    <r>
      <rPr>
        <sz val="9"/>
        <color rgb="FFC00000"/>
        <rFont val="Pretendard"/>
        <family val="3"/>
        <charset val="129"/>
      </rPr>
      <t>16.69% 증가</t>
    </r>
  </si>
  <si>
    <t>→ 4월 발행 콘텐츠의 오가닉 및 광고 도달이 모두 증가한 점을 고려할 때, 전월 대비 타깃에게 더 흥미로운 내용과 관련성이</t>
  </si>
  <si>
    <r>
      <t xml:space="preserve">→ </t>
    </r>
    <r>
      <rPr>
        <b/>
        <sz val="9"/>
        <color rgb="FFC00000"/>
        <rFont val="Pretendard"/>
        <family val="3"/>
        <charset val="129"/>
      </rPr>
      <t>높은 콘텐츠 발행한 것을 알 수 있음</t>
    </r>
  </si>
  <si>
    <r>
      <t xml:space="preserve">• 4월 한 달간 페이지 참여 8,585 확보, 전월 대비 </t>
    </r>
    <r>
      <rPr>
        <b/>
        <sz val="9"/>
        <color rgb="FF1F497D"/>
        <rFont val="Pretendard"/>
        <family val="3"/>
        <charset val="129"/>
      </rPr>
      <t>11.56% 감소</t>
    </r>
  </si>
  <si>
    <r>
      <t>-</t>
    </r>
    <r>
      <rPr>
        <sz val="9"/>
        <color rgb="FF000000"/>
        <rFont val="Pretendard"/>
        <family val="3"/>
        <charset val="129"/>
      </rPr>
      <t>링크 클릭 5,606회 확보, 전월 대비 143.1% 증가</t>
    </r>
  </si>
  <si>
    <t>조회 시간 19,459회 확보, 전월 대비 69.75% 증가</t>
  </si>
  <si>
    <r>
      <t>•</t>
    </r>
    <r>
      <rPr>
        <b/>
        <sz val="10"/>
        <color rgb="FF000000"/>
        <rFont val="Pretendard"/>
        <family val="3"/>
        <charset val="129"/>
      </rPr>
      <t xml:space="preserve">5월 1일 기준 팔로워 수 24,029명으로 전월 대비 </t>
    </r>
    <r>
      <rPr>
        <b/>
        <sz val="10"/>
        <color rgb="FF1F497D"/>
        <rFont val="Pretendard"/>
        <family val="3"/>
        <charset val="129"/>
      </rPr>
      <t>0.54%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</si>
  <si>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신규 팔로워 353명 확보, 전월 대비 </t>
    </r>
    <r>
      <rPr>
        <sz val="10"/>
        <color rgb="FF1F497D"/>
        <rFont val="Pretendard"/>
        <family val="3"/>
        <charset val="129"/>
      </rPr>
      <t>67.04%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</si>
  <si>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프로필 방문 3,501 확보, 전월 대비 </t>
    </r>
    <r>
      <rPr>
        <sz val="10"/>
        <color rgb="FF1F497D"/>
        <rFont val="Pretendard"/>
        <family val="3"/>
        <charset val="129"/>
      </rPr>
      <t>19.57% 감소</t>
    </r>
  </si>
  <si>
    <t>→ 전월 대비 프로필 방문 광고가 1건 감소 (광고 비용 22.81% 감소)했으며, 4월 30일 [EVENT 전지적 배터리 시점]</t>
  </si>
  <si>
    <r>
      <t xml:space="preserve">→ </t>
    </r>
    <r>
      <rPr>
        <b/>
        <sz val="10"/>
        <color rgb="FF000000"/>
        <rFont val="Pretendard"/>
        <family val="3"/>
        <charset val="129"/>
      </rPr>
      <t>발행 및 프로필 방문 광고 집행해 월 데이터에 미치는 영향이 미미했기 때문인 것으로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</si>
  <si>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도달 126,532 달성, 전월 대비 </t>
    </r>
    <r>
      <rPr>
        <b/>
        <sz val="10"/>
        <color rgb="FF1F497D"/>
        <rFont val="Pretendard"/>
        <family val="3"/>
        <charset val="129"/>
      </rPr>
      <t>16.54%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</si>
  <si>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오가닉 도달 6,235 달성, 전월 대비 </t>
    </r>
    <r>
      <rPr>
        <sz val="10"/>
        <color rgb="FFC00000"/>
        <rFont val="Pretendard"/>
        <family val="3"/>
        <charset val="129"/>
      </rPr>
      <t>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</si>
  <si>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4월 발행 콘텐츠 도달 159,817 달성, 전월 대비 </t>
    </r>
    <r>
      <rPr>
        <sz val="10"/>
        <color rgb="FFC00000"/>
        <rFont val="Pretendard"/>
        <family val="3"/>
        <charset val="129"/>
      </rPr>
      <t>5.97%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</si>
  <si>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포스트 게시물 참여 1,247 확보, 전월 대비 </t>
    </r>
    <r>
      <rPr>
        <b/>
        <sz val="10"/>
        <color rgb="FFC00000"/>
        <rFont val="Pretendard"/>
        <family val="3"/>
        <charset val="129"/>
      </rPr>
      <t>19.22% 증가</t>
    </r>
  </si>
  <si>
    <t>5월</t>
    <phoneticPr fontId="1" type="noConversion"/>
  </si>
  <si>
    <r>
      <t xml:space="preserve">6월 1일 기준 팬 수 323,315로 전월 대비 </t>
    </r>
    <r>
      <rPr>
        <b/>
        <sz val="10"/>
        <color rgb="FF1F497D"/>
        <rFont val="Pretendard"/>
        <family val="3"/>
        <charset val="129"/>
      </rPr>
      <t>0.08% 감소</t>
    </r>
  </si>
  <si>
    <r>
      <t>-</t>
    </r>
    <r>
      <rPr>
        <sz val="10"/>
        <color rgb="FF000000"/>
        <rFont val="Pretendard"/>
        <family val="3"/>
        <charset val="129"/>
      </rPr>
      <t xml:space="preserve">5월 신규 팔로우 419 확보, 전월 대비 </t>
    </r>
    <r>
      <rPr>
        <sz val="10"/>
        <color rgb="FFC00000"/>
        <rFont val="Pretendard"/>
        <family val="3"/>
        <charset val="129"/>
      </rPr>
      <t>23.24%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</si>
  <si>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페이지 방문 14,845 확보, 전월 대비 </t>
    </r>
    <r>
      <rPr>
        <sz val="10"/>
        <color rgb="FF1F497D"/>
        <rFont val="Pretendard"/>
        <family val="3"/>
        <charset val="129"/>
      </rPr>
      <t>6.46% 감소</t>
    </r>
  </si>
  <si>
    <r>
      <t xml:space="preserve">• 5월 콘텐츠 도달 303,924 확보, 전월 대비 </t>
    </r>
    <r>
      <rPr>
        <b/>
        <sz val="10"/>
        <color rgb="FFC00000"/>
        <rFont val="Pretendard"/>
        <family val="3"/>
        <charset val="129"/>
      </rPr>
      <t>3.20% 증가</t>
    </r>
  </si>
  <si>
    <r>
      <t xml:space="preserve">-   5월 콘텐츠 오가닉 도달 38,896 확보, 전월 대비 </t>
    </r>
    <r>
      <rPr>
        <sz val="10"/>
        <color rgb="FFC00000"/>
        <rFont val="Pretendard"/>
        <family val="3"/>
        <charset val="129"/>
      </rPr>
      <t>72.31%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</si>
  <si>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발행 콘텐츠 도달 357,336 확보, 대비 </t>
    </r>
    <r>
      <rPr>
        <sz val="10"/>
        <color rgb="FF1F497D"/>
        <rFont val="Pretendard"/>
        <family val="3"/>
        <charset val="129"/>
      </rPr>
      <t>0.73% 감소</t>
    </r>
    <r>
      <rPr>
        <sz val="10"/>
        <color rgb="FF000000"/>
        <rFont val="Pretendard"/>
        <family val="3"/>
        <charset val="129"/>
      </rPr>
      <t xml:space="preserve">, 평균 도달 23,822로 전월 대비 </t>
    </r>
    <r>
      <rPr>
        <sz val="10"/>
        <color rgb="FFC00000"/>
        <rFont val="Pretendard"/>
        <family val="3"/>
        <charset val="129"/>
      </rPr>
      <t>12.50% 증가</t>
    </r>
  </si>
  <si>
    <r>
      <t>-</t>
    </r>
    <r>
      <rPr>
        <sz val="10"/>
        <color rgb="FF000000"/>
        <rFont val="Pretendard"/>
        <family val="3"/>
        <charset val="129"/>
      </rPr>
      <t>→ 포스팅 발행 수 감소 영향으로 풀이</t>
    </r>
  </si>
  <si>
    <r>
      <t xml:space="preserve">• 5월 한 달간 콘텐츠 인터랙션 12,390 확보, 전월 대비 </t>
    </r>
    <r>
      <rPr>
        <b/>
        <sz val="10"/>
        <color rgb="FFC00000"/>
        <rFont val="Pretendard"/>
        <family val="3"/>
        <charset val="129"/>
      </rPr>
      <t>44.32% 증가</t>
    </r>
  </si>
  <si>
    <r>
      <t>-</t>
    </r>
    <r>
      <rPr>
        <sz val="10"/>
        <color rgb="FF000000"/>
        <rFont val="Pretendard"/>
        <family val="3"/>
        <charset val="129"/>
      </rPr>
      <t>링크 클릭 3,775회, 조회 시간 20,686 (전월 대비 6.31% 증가) 확보</t>
    </r>
  </si>
  <si>
    <t>→ EVENT 게시물 2건 발행 영향으로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</si>
  <si>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6월 1일 기준 팬 수 24,433로 전월 대비 </t>
    </r>
    <r>
      <rPr>
        <b/>
        <sz val="10"/>
        <color rgb="FFC00000"/>
        <rFont val="Pretendard"/>
        <family val="3"/>
        <charset val="129"/>
      </rPr>
      <t>1.68%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</si>
  <si>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새로운 팔로워 753 확보, 전월 대비 </t>
    </r>
    <r>
      <rPr>
        <sz val="10"/>
        <color rgb="FFC00000"/>
        <rFont val="Pretendard"/>
        <family val="3"/>
        <charset val="129"/>
      </rPr>
      <t>113.31%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</si>
  <si>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프로필 방문 4,021 확보, 전월 대비 </t>
    </r>
    <r>
      <rPr>
        <sz val="10"/>
        <color rgb="FFC00000"/>
        <rFont val="Pretendard"/>
        <family val="3"/>
        <charset val="129"/>
      </rPr>
      <t>14.85%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</si>
  <si>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팔로워 이탈 367 발생, 전월 대비 </t>
    </r>
    <r>
      <rPr>
        <sz val="10"/>
        <color rgb="FFC00000"/>
        <rFont val="Pretendard"/>
        <family val="3"/>
        <charset val="129"/>
      </rPr>
      <t xml:space="preserve">21.58% 감소 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</si>
  <si>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오가닉 도달 6,613 확보, 전월 대비 </t>
    </r>
    <r>
      <rPr>
        <b/>
        <sz val="10"/>
        <color rgb="FFC00000"/>
        <rFont val="Pretendard"/>
        <family val="3"/>
        <charset val="129"/>
      </rPr>
      <t>6.06%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</si>
  <si>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참여 13,330 확보, 전월 대비 </t>
    </r>
    <r>
      <rPr>
        <b/>
        <sz val="10"/>
        <color rgb="FFC00000"/>
        <rFont val="Pretendard"/>
        <family val="3"/>
        <charset val="129"/>
      </rPr>
      <t>78.07%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</si>
  <si>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7,646 계정 참여, 전월 대비 </t>
    </r>
    <r>
      <rPr>
        <b/>
        <sz val="10"/>
        <color rgb="FFC00000"/>
        <rFont val="Pretendard"/>
        <family val="3"/>
        <charset val="129"/>
      </rPr>
      <t>84.24%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</si>
  <si>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1,114, 댓글 740, 저장 73, 공유 1, 릴스 통해 좋아요 708, 댓글 624, 저장 38, 공유 62 확보</t>
    </r>
  </si>
  <si>
    <t>6월</t>
    <phoneticPr fontId="1" type="noConversion"/>
  </si>
  <si>
    <r>
      <t xml:space="preserve">7월 1일 기준 팬 수 323,112명으로 전월 대비 </t>
    </r>
    <r>
      <rPr>
        <b/>
        <sz val="10"/>
        <color rgb="FF1F497D"/>
        <rFont val="Pretendard"/>
        <family val="3"/>
        <charset val="129"/>
      </rPr>
      <t>0.06%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</si>
  <si>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새로운 팬 408 확보, 전월 대비 </t>
    </r>
    <r>
      <rPr>
        <sz val="10"/>
        <color rgb="FF1F497D"/>
        <rFont val="Pretendard"/>
        <family val="3"/>
        <charset val="129"/>
      </rPr>
      <t>11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</si>
  <si>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이탈 379 발생, 전월 대비 </t>
    </r>
    <r>
      <rPr>
        <sz val="10"/>
        <color rgb="FFC00000"/>
        <rFont val="Pretendard"/>
        <family val="3"/>
        <charset val="129"/>
      </rPr>
      <t>99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</si>
  <si>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13,587 확보, 전월 대비 </t>
    </r>
    <r>
      <rPr>
        <sz val="10"/>
        <color rgb="FF1F497D"/>
        <rFont val="Pretendard"/>
        <family val="3"/>
        <charset val="129"/>
      </rPr>
      <t>1,258 감소</t>
    </r>
  </si>
  <si>
    <r>
      <t xml:space="preserve">• 6월 콘텐츠 도달 279,861 기록, 전월 대비 </t>
    </r>
    <r>
      <rPr>
        <b/>
        <sz val="10"/>
        <color rgb="FF1F497D"/>
        <rFont val="Pretendard"/>
        <family val="3"/>
        <charset val="129"/>
      </rPr>
      <t xml:space="preserve">7.92% 감소, </t>
    </r>
    <r>
      <rPr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86.08%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</si>
  <si>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23,633 기록,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</si>
  <si>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 기록,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</si>
  <si>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7,026 확보, 전월 대비 </t>
    </r>
    <r>
      <rPr>
        <b/>
        <sz val="10"/>
        <color rgb="FF1F497D"/>
        <rFont val="Pretendard"/>
        <family val="3"/>
        <charset val="129"/>
      </rPr>
      <t>43.29% 감소</t>
    </r>
  </si>
  <si>
    <r>
      <t xml:space="preserve">단 링크 클릭 4,070회 (전월 대비 </t>
    </r>
    <r>
      <rPr>
        <sz val="10"/>
        <color rgb="FFC00000"/>
        <rFont val="Pretendard"/>
        <family val="3"/>
        <charset val="129"/>
      </rPr>
      <t>7.81%</t>
    </r>
    <r>
      <rPr>
        <sz val="10"/>
        <color rgb="FF000000"/>
        <rFont val="Pretendard"/>
        <family val="3"/>
        <charset val="129"/>
      </rPr>
      <t xml:space="preserve">), 조회 시간 45,105 (전월 대비 </t>
    </r>
    <r>
      <rPr>
        <sz val="10"/>
        <color rgb="FFC00000"/>
        <rFont val="Pretendard"/>
        <family val="3"/>
        <charset val="129"/>
      </rPr>
      <t>118.05% 증가</t>
    </r>
    <r>
      <rPr>
        <sz val="10"/>
        <color rgb="FF000000"/>
        <rFont val="Pretendard"/>
        <family val="3"/>
        <charset val="129"/>
      </rPr>
      <t>) 확보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</si>
  <si>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 이벤트 콘텐츠가 미치는 영향이 감소했기 때문인 것으로 풀이 </t>
    </r>
    <phoneticPr fontId="1" type="noConversion"/>
  </si>
  <si>
    <r>
      <t xml:space="preserve">• 7월 1일 기준 팬 수 24,386명으로 전월 대비 </t>
    </r>
    <r>
      <rPr>
        <b/>
        <sz val="10"/>
        <color rgb="FF1F497D"/>
        <rFont val="Pretendard"/>
        <family val="3"/>
        <charset val="129"/>
      </rPr>
      <t>0.19%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</si>
  <si>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프로필 방문 4,256 확보, 전월 대비 </t>
    </r>
    <r>
      <rPr>
        <sz val="10"/>
        <color rgb="FFC00000"/>
        <rFont val="Pretendard"/>
        <family val="3"/>
        <charset val="129"/>
      </rPr>
      <t>5.84%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</si>
  <si>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337 확보, 전월 대비 </t>
    </r>
    <r>
      <rPr>
        <sz val="10"/>
        <color rgb="FF1F497D"/>
        <rFont val="Pretendard"/>
        <family val="3"/>
        <charset val="129"/>
      </rPr>
      <t>55.25% 감소</t>
    </r>
  </si>
  <si>
    <r>
      <t xml:space="preserve">• 6월 계정 도달 165,188 기록, 전월 대비 </t>
    </r>
    <r>
      <rPr>
        <b/>
        <sz val="10"/>
        <color rgb="FFC00000"/>
        <rFont val="Pretendard"/>
        <family val="3"/>
        <charset val="129"/>
      </rPr>
      <t>73.11%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</si>
  <si>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3,975 기록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</si>
  <si>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194,886로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</si>
  <si>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10,531 확보, 전월 대비 </t>
    </r>
    <r>
      <rPr>
        <b/>
        <sz val="10"/>
        <color rgb="FF1F497D"/>
        <rFont val="Pretendard"/>
        <family val="3"/>
        <charset val="129"/>
      </rPr>
      <t>21% 감소</t>
    </r>
  </si>
  <si>
    <r>
      <t>-</t>
    </r>
    <r>
      <rPr>
        <sz val="10"/>
        <color rgb="FF000000"/>
        <rFont val="Pretendard"/>
        <family val="3"/>
        <charset val="129"/>
      </rPr>
      <t xml:space="preserve">단, 링크 클릭 2,968회 기록, 전월 대비 </t>
    </r>
    <r>
      <rPr>
        <sz val="10"/>
        <color rgb="FFC00000"/>
        <rFont val="Pretendard"/>
        <family val="3"/>
        <charset val="129"/>
      </rPr>
      <t>99.73%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</si>
  <si>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367, 댓글 8, 저장 50, 공유 5, 릴스 통해 좋아요 574, 댓글 459, 저장 76, 공유 85 확보</t>
    </r>
  </si>
  <si>
    <r>
      <t>-</t>
    </r>
    <r>
      <rPr>
        <sz val="10"/>
        <color rgb="FF000000"/>
        <rFont val="Pretendard"/>
        <family val="3"/>
        <charset val="129"/>
      </rPr>
      <t>→ 전월 대비 릴스 저장 (38→76), 공유 수치(62→85) 증가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</si>
  <si>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이벤트 콘텐츠가 미치는 영향이 감소했기 때문인 것으로 풀이 </t>
    </r>
    <phoneticPr fontId="1" type="noConversion"/>
  </si>
  <si>
    <r>
      <t xml:space="preserve">8월 1일 기준 팬 수 24,480명으로 전월 대비 </t>
    </r>
    <r>
      <rPr>
        <b/>
        <sz val="10"/>
        <color rgb="FFC00000"/>
        <rFont val="Pretendard"/>
        <family val="3"/>
        <charset val="129"/>
      </rPr>
      <t>0.39%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</si>
  <si>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505 확보, 전월 대비 </t>
    </r>
    <r>
      <rPr>
        <sz val="10"/>
        <color rgb="FFC00000"/>
        <rFont val="Pretendard"/>
        <family val="3"/>
        <charset val="129"/>
      </rPr>
      <t>49.85%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</si>
  <si>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4,014 발생, 전월 대비 </t>
    </r>
    <r>
      <rPr>
        <sz val="10"/>
        <color rgb="FF1F497D"/>
        <rFont val="Pretendard"/>
        <family val="3"/>
        <charset val="129"/>
      </rPr>
      <t>5.69% 감소</t>
    </r>
  </si>
  <si>
    <r>
      <t xml:space="preserve">• 7월 발행 콘텐츠 평균 도달 10,564 달성, 전월 대비 </t>
    </r>
    <r>
      <rPr>
        <b/>
        <sz val="10"/>
        <color rgb="FFC00000"/>
        <rFont val="Pretendard"/>
        <family val="3"/>
        <charset val="129"/>
      </rPr>
      <t>1.46% 증가</t>
    </r>
  </si>
  <si>
    <r>
      <t>-</t>
    </r>
    <r>
      <rPr>
        <sz val="10"/>
        <color rgb="FF000000"/>
        <rFont val="Pretendard"/>
        <family val="3"/>
        <charset val="129"/>
      </rPr>
      <t xml:space="preserve">페이지 참여율 </t>
    </r>
    <r>
      <rPr>
        <sz val="10"/>
        <color rgb="FFC00000"/>
        <rFont val="Pretendard"/>
        <family val="3"/>
        <charset val="129"/>
      </rPr>
      <t>3.62%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</si>
  <si>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계정 도달 105,185 달성, 전월 대비 </t>
    </r>
    <r>
      <rPr>
        <sz val="10"/>
        <color rgb="FF1F497D"/>
        <rFont val="Pretendard"/>
        <family val="3"/>
        <charset val="129"/>
      </rPr>
      <t>36.32% 감소</t>
    </r>
  </si>
  <si>
    <r>
      <t>-</t>
    </r>
    <r>
      <rPr>
        <sz val="10"/>
        <color rgb="FF000000"/>
        <rFont val="Pretendard"/>
        <family val="3"/>
        <charset val="129"/>
      </rPr>
      <t>→ 전월 대비 도달 달성에 효과적인 참여 목적 광고 소재, 광고비가 감소했기 때문인 것으로 풀이</t>
    </r>
  </si>
  <si>
    <r>
      <t>-</t>
    </r>
    <r>
      <rPr>
        <sz val="10"/>
        <color rgb="FF000000"/>
        <rFont val="Pretendard"/>
        <family val="3"/>
        <charset val="129"/>
      </rPr>
      <t>(6월 참여 목적 광고 소재 8개, 광고비 750,453원 vs. 7월 참여 목적 광고 소재 4개, 광고비 255,686원)</t>
    </r>
  </si>
  <si>
    <r>
      <t xml:space="preserve">• 7월 한 달간 콘텐츠 인터랙션 10,512 확보, 전월 대비 </t>
    </r>
    <r>
      <rPr>
        <b/>
        <sz val="10"/>
        <color rgb="FF1F497D"/>
        <rFont val="Pretendard"/>
        <family val="3"/>
        <charset val="129"/>
      </rPr>
      <t>0.18% 감소</t>
    </r>
  </si>
  <si>
    <r>
      <t>-</t>
    </r>
    <r>
      <rPr>
        <sz val="10"/>
        <color rgb="FF000000"/>
        <rFont val="Pretendard"/>
        <family val="3"/>
        <charset val="129"/>
      </rPr>
      <t>포스트 통해 842, 릴스 통해 1,012, 스토리 통해 14 확보</t>
    </r>
  </si>
  <si>
    <t>7월</t>
    <phoneticPr fontId="1" type="noConversion"/>
  </si>
  <si>
    <r>
      <t xml:space="preserve">8월 1일 기준 팬 수 322,812명으로 전월 대비 </t>
    </r>
    <r>
      <rPr>
        <b/>
        <sz val="10"/>
        <color rgb="FF1F497D"/>
        <rFont val="Pretendard"/>
        <family val="3"/>
        <charset val="129"/>
      </rPr>
      <t>0.09%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</si>
  <si>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신규 팔로우 423 확보, 전월 대비 </t>
    </r>
    <r>
      <rPr>
        <sz val="10"/>
        <color rgb="FFC00000"/>
        <rFont val="Pretendard"/>
        <family val="3"/>
        <charset val="129"/>
      </rPr>
      <t>3.68%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</si>
  <si>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한 달간 페이지 방문 12,743 확보, 전월 대비 </t>
    </r>
    <r>
      <rPr>
        <sz val="10"/>
        <color rgb="FF1F497D"/>
        <rFont val="Pretendard"/>
        <family val="3"/>
        <charset val="129"/>
      </rPr>
      <t>6.21% 감소</t>
    </r>
  </si>
  <si>
    <r>
      <t>-</t>
    </r>
    <r>
      <rPr>
        <sz val="10"/>
        <color rgb="FF000000"/>
        <rFont val="Pretendard"/>
        <family val="3"/>
        <charset val="129"/>
      </rPr>
      <t>→ 전월 대비 페이지 홍보 광고 소재, 광고비가 감소했기 때문인 것으로 풀이</t>
    </r>
  </si>
  <si>
    <t xml:space="preserve">     (6월 페이지 홍보 광고 소재 6개, 광고비 399,487원 vs. 7월 페이지 홍보 광고 소재 5개, 광고비 265,647원) </t>
  </si>
  <si>
    <r>
      <t xml:space="preserve">• 7월 페이지 참여 9,324 확보, 전월 대비 </t>
    </r>
    <r>
      <rPr>
        <b/>
        <sz val="10"/>
        <color rgb="FFC00000"/>
        <rFont val="Pretendard"/>
        <family val="3"/>
        <charset val="129"/>
      </rPr>
      <t>32.71% 증가</t>
    </r>
    <r>
      <rPr>
        <b/>
        <sz val="10"/>
        <color rgb="FF000000"/>
        <rFont val="Pretendard"/>
        <family val="3"/>
        <charset val="129"/>
      </rPr>
      <t xml:space="preserve">, 페이지 참여율 또한 </t>
    </r>
    <r>
      <rPr>
        <b/>
        <sz val="10"/>
        <color rgb="FFC00000"/>
        <rFont val="Pretendard"/>
        <family val="3"/>
        <charset val="129"/>
      </rPr>
      <t>1.76%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</si>
  <si>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페이지 도달 218,342 확보, 전월 대비 </t>
    </r>
    <r>
      <rPr>
        <sz val="10"/>
        <color rgb="FF1F497D"/>
        <rFont val="Pretendard"/>
        <family val="3"/>
        <charset val="129"/>
      </rPr>
      <t>21.98%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</si>
  <si>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평균 도달 13,324 달성, 전월 대비 </t>
    </r>
    <r>
      <rPr>
        <sz val="10"/>
        <color rgb="FF1F497D"/>
        <rFont val="Pretendard"/>
        <family val="3"/>
        <charset val="129"/>
      </rPr>
      <t>17.96%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</si>
  <si>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오가닉 평균 도달 1,901 달성, 전월 대비 </t>
    </r>
    <r>
      <rPr>
        <sz val="10"/>
        <color rgb="FF1F497D"/>
        <rFont val="Pretendard"/>
        <family val="3"/>
        <charset val="129"/>
      </rPr>
      <t>34.96% 감소</t>
    </r>
  </si>
  <si>
    <r>
      <t>-</t>
    </r>
    <r>
      <rPr>
        <sz val="8"/>
        <color rgb="FF000000"/>
        <rFont val="Pretendard"/>
        <family val="3"/>
        <charset val="129"/>
      </rPr>
      <t>(6월 참여 목적 광고 소재 13개, 광고비 1,062,954원 vs. 7월 참여 목적 광고 소재 8개, 광고비 270,995원)</t>
    </r>
  </si>
  <si>
    <r>
      <t>-</t>
    </r>
    <r>
      <rPr>
        <sz val="10"/>
        <color rgb="FF000000"/>
        <rFont val="Pretendard"/>
        <family val="3"/>
        <charset val="129"/>
      </rPr>
      <t>→ 한국석유관리원 공유 콘텐츠 2건에 대해 광고를 집행하지 않은 것 또한 영향을 미친 것으로 풀이</t>
    </r>
  </si>
  <si>
    <t>• 9월 1일 기준 팬 수 322,563명으로 전월 대비 0.08% 감소</t>
  </si>
  <si>
    <t>-   8월 신규 팔로우 502 확보, 전월 대비 18.68% 증가</t>
  </si>
  <si>
    <t>-   8월 한 달간 페이지 방문 14,443 확보, 전월 대비 13.34% 증가</t>
  </si>
  <si>
    <t>• 8월 콘텐츠 도달 189,852 확보, 전월 대비 13.05% 감소</t>
  </si>
  <si>
    <t>-   8월 콘텐츠 오가닉 도달 19,564로 전월 대비 9.17% 증가</t>
  </si>
  <si>
    <t>-   8월 발행 콘텐츠 도달 162,487로 전월 대비 39.03% 감소</t>
  </si>
  <si>
    <t>-   8월 발행 콘텐츠 평균 도달 10,832로 전월 대비 18.70% 감소</t>
  </si>
  <si>
    <t>• 8월 한 달간 콘텐츠 인터랙션 10,549 확보, 전월 대비 13.14% 증가</t>
  </si>
  <si>
    <t>-   링크 클릭 -회, 조회 시간 23,460 (전월 대비 24.13% 증가) 확보</t>
  </si>
  <si>
    <t>9월 1일 기준 팬 수 24,781명으로 전월 대비 1.23% 증가</t>
  </si>
  <si>
    <t>신규 팔로워 685로 전월 대비 35.64% 증가, 팔로워 이탈 503로 전월 대비 15.90% 증가</t>
  </si>
  <si>
    <t>포스팅 발행 수 13로 전월 대비 13.33% 감소</t>
  </si>
  <si>
    <t>콘텐츠 도달 150,663로 전월 대비 43.24% 증가</t>
  </si>
  <si>
    <t>콘텐츠 참여 15,036로 전월 대비 43.04% 증가</t>
  </si>
  <si>
    <t>콘텐츠 평균 도달 11,589으로 전월 대비 65.27% 증가</t>
  </si>
  <si>
    <t>m월 한 달간 팔로워 이탈 n명 발생, 전월 대비 n.nn% 감소</t>
    <phoneticPr fontId="1" type="noConversion"/>
  </si>
  <si>
    <t>m월 한 달간 신규 좋아요 n 확보, n.nn% 증감</t>
    <phoneticPr fontId="1" type="noConversion"/>
  </si>
  <si>
    <t>m월 한 달간 페이지 방문 n 확보, 전월 대비 n.nn% 증감</t>
    <phoneticPr fontId="1" type="noConversion"/>
  </si>
  <si>
    <t>페이지뷰</t>
    <phoneticPr fontId="1" type="noConversion"/>
  </si>
  <si>
    <t>콘텐츠 발행수</t>
    <phoneticPr fontId="1" type="noConversion"/>
  </si>
  <si>
    <t>광고비</t>
    <phoneticPr fontId="1" type="noConversion"/>
  </si>
  <si>
    <t>페이지 오가닉 도달</t>
    <phoneticPr fontId="1" type="noConversion"/>
  </si>
  <si>
    <t>이탈</t>
    <phoneticPr fontId="1" type="noConversion"/>
  </si>
  <si>
    <t>콘텐츠 평균 도달</t>
    <phoneticPr fontId="1" type="noConversion"/>
  </si>
  <si>
    <t>페이지 참여</t>
    <phoneticPr fontId="1" type="noConversion"/>
  </si>
  <si>
    <t>조회시간</t>
    <phoneticPr fontId="1" type="noConversion"/>
  </si>
  <si>
    <t>여기에 모든 수치 다 때려박고</t>
    <phoneticPr fontId="1" type="noConversion"/>
  </si>
  <si>
    <t>카테고리 골라서 연간수치까지 비교 가능하게 만들고 싶음</t>
    <phoneticPr fontId="1" type="noConversion"/>
  </si>
  <si>
    <t>카테고리 선택하면 표가 동적으로 맞춰서 변경되고</t>
    <phoneticPr fontId="1" type="noConversion"/>
  </si>
  <si>
    <t>인사이트도 자동으로 옆에 예쁘게 나오도록</t>
    <phoneticPr fontId="1" type="noConversion"/>
  </si>
  <si>
    <t>연간수치는 그래프로 표현하도록</t>
    <phoneticPr fontId="1" type="noConversion"/>
  </si>
  <si>
    <t>페이지 오가닉 도달: 구글 G</t>
    <phoneticPr fontId="1" type="noConversion"/>
  </si>
  <si>
    <t xml:space="preserve">페북 이탈: </t>
    <phoneticPr fontId="1" type="noConversion"/>
  </si>
  <si>
    <t>콘텐츠 --&gt; 계정으로 용어 변경</t>
    <phoneticPr fontId="1" type="noConversion"/>
  </si>
  <si>
    <t>콘텐츠 --&gt; 페이지로 용어 변경</t>
    <phoneticPr fontId="1" type="noConversion"/>
  </si>
  <si>
    <t>신규 프로필 방문 n으로 전월 대비 n.n% 감소</t>
    <phoneticPr fontId="1" type="noConversion"/>
  </si>
  <si>
    <t>m월 콘텐츠 참여율 n.nn% 확보, 전월 대비 n% 증감</t>
    <phoneticPr fontId="1" type="noConversion"/>
  </si>
  <si>
    <t>전월 대비 링크 클릭 n.n% 증감</t>
    <phoneticPr fontId="1" type="noConversion"/>
  </si>
  <si>
    <t>m월 한달간 페이지 방문 n 발생, 전월 대비 n% 증감</t>
    <phoneticPr fontId="1" type="noConversion"/>
  </si>
  <si>
    <t>&lt;-- 이번 달 링크클릭 데이터 없음</t>
    <phoneticPr fontId="1" type="noConversion"/>
  </si>
  <si>
    <t>추가된 문구</t>
    <phoneticPr fontId="1" type="noConversion"/>
  </si>
  <si>
    <t>&lt;-- 페이지 방문 = 프로필 방문 인 것으로 보임</t>
    <phoneticPr fontId="1" type="noConversion"/>
  </si>
  <si>
    <t>수집해야 하는 데이터:</t>
    <phoneticPr fontId="1" type="noConversion"/>
  </si>
  <si>
    <t>팬</t>
    <phoneticPr fontId="1" type="noConversion"/>
  </si>
  <si>
    <t>매달 추가감소되는 수치들</t>
    <phoneticPr fontId="1" type="noConversion"/>
  </si>
  <si>
    <t>페이지 방문</t>
    <phoneticPr fontId="1" type="noConversion"/>
  </si>
  <si>
    <t>콘텐츠 도달</t>
    <phoneticPr fontId="1" type="noConversion"/>
  </si>
  <si>
    <t>오가닉</t>
    <phoneticPr fontId="1" type="noConversion"/>
  </si>
  <si>
    <t>광고</t>
    <phoneticPr fontId="1" type="noConversion"/>
  </si>
  <si>
    <t>평균 도달</t>
    <phoneticPr fontId="1" type="noConversion"/>
  </si>
  <si>
    <t>인터랙션</t>
    <phoneticPr fontId="1" type="noConversion"/>
  </si>
  <si>
    <t>스폰서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</si>
</sst>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yy&quot;년&quot;\ mm&quot;월&quot;"/>
    <numFmt numFmtId="180" formatCode="#,##0_ "/>
    <numFmt numFmtId="181" formatCode="#,##0_);[Red]\(#,##0\)"/>
    <numFmt numFmtId="182" formatCode="d\(aaa\)"/>
    <numFmt numFmtId="183" formatCode="yy&quot;년&quot;\ m&quot;월&quot;"/>
    <numFmt numFmtId="184" formatCode="m&quot;월&quot;"/>
    <numFmt numFmtId="185" formatCode="0_ "/>
    <numFmt numFmtId="186" formatCode="#,##0.000_);[Red]\(#,##0.000\)"/>
  </numFmts>
  <fonts count="5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1"/>
      <name val="Pretendard"/>
      <family val="3"/>
      <charset val="129"/>
    </font>
    <font>
      <b/>
      <sz val="11"/>
      <color theme="1"/>
      <name val="Pretendard"/>
      <family val="3"/>
      <charset val="129"/>
    </font>
    <font>
      <b/>
      <sz val="11"/>
      <color rgb="FFFF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1"/>
      <color theme="2" tint="-0.499984740745262"/>
      <name val="Pretendard"/>
      <family val="3"/>
      <charset val="129"/>
    </font>
    <font>
      <sz val="10"/>
      <color theme="1"/>
      <name val="Pretendard"/>
      <family val="3"/>
      <charset val="129"/>
    </font>
    <font>
      <sz val="11"/>
      <color theme="0"/>
      <name val="Pretendard"/>
      <family val="3"/>
      <charset val="129"/>
    </font>
    <font>
      <sz val="9"/>
      <color rgb="FFFF0000"/>
      <name val="Pretendard"/>
      <family val="3"/>
      <charset val="129"/>
    </font>
    <font>
      <sz val="13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20"/>
      <color theme="1"/>
      <name val="Pretendard"/>
      <family val="3"/>
      <charset val="129"/>
    </font>
    <font>
      <sz val="11"/>
      <color rgb="FFFF0000"/>
      <name val="Pretendard"/>
      <family val="3"/>
      <charset val="129"/>
    </font>
    <font>
      <sz val="8"/>
      <color theme="1"/>
      <name val="Pretendard"/>
      <family val="3"/>
      <charset val="129"/>
    </font>
    <font>
      <b/>
      <sz val="8"/>
      <color rgb="FFFFFFFF"/>
      <name val="Pretendard"/>
      <family val="3"/>
      <charset val="129"/>
    </font>
    <font>
      <sz val="8"/>
      <color rgb="FF000000"/>
      <name val="Pretendard"/>
      <family val="3"/>
      <charset val="129"/>
    </font>
    <font>
      <sz val="11"/>
      <color theme="10"/>
      <name val="Pretendard"/>
      <family val="3"/>
      <charset val="129"/>
    </font>
    <font>
      <sz val="11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sz val="9"/>
      <name val="Pretendard"/>
      <family val="3"/>
      <charset val="129"/>
    </font>
    <font>
      <sz val="9"/>
      <color rgb="FF000000"/>
      <name val="Pretendard"/>
      <family val="3"/>
      <charset val="129"/>
    </font>
    <font>
      <sz val="9"/>
      <color theme="1"/>
      <name val="Pretendard"/>
      <family val="3"/>
      <charset val="129"/>
    </font>
    <font>
      <sz val="9"/>
      <color theme="2" tint="-0.499984740745262"/>
      <name val="Pretendard"/>
      <family val="3"/>
      <charset val="129"/>
    </font>
    <font>
      <sz val="10"/>
      <color theme="1"/>
      <name val="Arial"/>
      <family val="2"/>
    </font>
    <font>
      <b/>
      <sz val="11"/>
      <color rgb="FFFFFFFF"/>
      <name val="Pretendard"/>
      <family val="3"/>
      <charset val="129"/>
    </font>
    <font>
      <b/>
      <sz val="10"/>
      <color rgb="FF1F497D"/>
      <name val="Pretendard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000000"/>
      <name val="Pretendard"/>
      <family val="3"/>
      <charset val="129"/>
    </font>
    <font>
      <sz val="10"/>
      <color rgb="FFC00000"/>
      <name val="Pretendard"/>
      <family val="3"/>
      <charset val="129"/>
    </font>
    <font>
      <b/>
      <sz val="10"/>
      <color rgb="FFC00000"/>
      <name val="Pretendard"/>
      <family val="3"/>
      <charset val="129"/>
    </font>
    <font>
      <b/>
      <sz val="10"/>
      <color rgb="FF000000"/>
      <name val="바탕"/>
      <family val="1"/>
      <charset val="129"/>
    </font>
    <font>
      <b/>
      <sz val="10"/>
      <color rgb="FF17375E"/>
      <name val="Pretendard"/>
      <family val="3"/>
      <charset val="129"/>
    </font>
    <font>
      <sz val="10"/>
      <color theme="1"/>
      <name val="Wingdings"/>
      <charset val="2"/>
    </font>
    <font>
      <b/>
      <sz val="10"/>
      <color rgb="FF0070C0"/>
      <name val="Pretendard"/>
      <family val="3"/>
      <charset val="129"/>
    </font>
    <font>
      <sz val="10"/>
      <color rgb="FF0070C0"/>
      <name val="Pretendard"/>
      <family val="3"/>
      <charset val="129"/>
    </font>
    <font>
      <sz val="10"/>
      <color rgb="FF1F497D"/>
      <name val="Pretendard"/>
      <family val="3"/>
      <charset val="129"/>
    </font>
    <font>
      <b/>
      <sz val="9"/>
      <color rgb="FF000000"/>
      <name val="Pretendard"/>
      <family val="3"/>
      <charset val="129"/>
    </font>
    <font>
      <b/>
      <sz val="9"/>
      <color rgb="FF1F497D"/>
      <name val="Pretendard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rgb="FFC00000"/>
      <name val="Pretendard"/>
      <family val="3"/>
      <charset val="129"/>
    </font>
    <font>
      <b/>
      <sz val="9"/>
      <color rgb="FFC00000"/>
      <name val="Pretendard"/>
      <family val="3"/>
      <charset val="129"/>
    </font>
    <font>
      <sz val="9"/>
      <color rgb="FF1F497D"/>
      <name val="Pretendard"/>
      <family val="3"/>
      <charset val="129"/>
    </font>
    <font>
      <b/>
      <sz val="10"/>
      <color rgb="FFFFFFFF"/>
      <name val="Pretendard"/>
      <family val="3"/>
      <charset val="129"/>
    </font>
    <font>
      <sz val="8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9A93"/>
        <bgColor indexed="64"/>
      </patternFill>
    </fill>
  </fills>
  <borders count="4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261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Alignment="1">
      <alignment horizontal="left" vertical="center"/>
    </xf>
    <xf numFmtId="0" fontId="0" fillId="10" borderId="27" xfId="0" applyFill="1" applyBorder="1" applyAlignment="1">
      <alignment horizontal="left" vertical="center"/>
    </xf>
    <xf numFmtId="0" fontId="0" fillId="15" borderId="26" xfId="0" applyFill="1" applyBorder="1" applyAlignment="1">
      <alignment horizontal="left" vertical="center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1" fillId="0" borderId="0" xfId="0" applyFont="1">
      <alignment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Protection="1">
      <alignment vertical="center"/>
      <protection locked="0"/>
    </xf>
    <xf numFmtId="0" fontId="13" fillId="0" borderId="0" xfId="0" applyFon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0" fontId="14" fillId="2" borderId="37" xfId="0" applyFont="1" applyFill="1" applyBorder="1" applyAlignment="1">
      <alignment vertical="center" wrapText="1"/>
    </xf>
    <xf numFmtId="0" fontId="14" fillId="2" borderId="29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 wrapText="1"/>
    </xf>
    <xf numFmtId="0" fontId="14" fillId="2" borderId="25" xfId="0" applyFont="1" applyFill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5" fillId="2" borderId="35" xfId="0" applyFont="1" applyFill="1" applyBorder="1" applyAlignment="1">
      <alignment horizontal="right" vertical="center" wrapText="1"/>
    </xf>
    <xf numFmtId="0" fontId="15" fillId="2" borderId="36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left" vertical="center" wrapText="1"/>
    </xf>
    <xf numFmtId="0" fontId="15" fillId="2" borderId="35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right" vertical="center" wrapText="1"/>
    </xf>
    <xf numFmtId="0" fontId="15" fillId="2" borderId="38" xfId="0" applyFont="1" applyFill="1" applyBorder="1" applyAlignment="1">
      <alignment horizontal="center"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15" fillId="2" borderId="37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center" vertical="center" wrapText="1"/>
    </xf>
    <xf numFmtId="0" fontId="15" fillId="2" borderId="34" xfId="0" applyFont="1" applyFill="1" applyBorder="1" applyAlignment="1">
      <alignment horizontal="center" vertical="center" wrapText="1"/>
    </xf>
    <xf numFmtId="0" fontId="15" fillId="2" borderId="41" xfId="0" applyFont="1" applyFill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vertical="center" wrapText="1"/>
    </xf>
    <xf numFmtId="0" fontId="15" fillId="2" borderId="31" xfId="0" applyFont="1" applyFill="1" applyBorder="1" applyAlignment="1">
      <alignment horizontal="right" vertical="center" wrapText="1"/>
    </xf>
    <xf numFmtId="0" fontId="15" fillId="2" borderId="31" xfId="0" applyFont="1" applyFill="1" applyBorder="1" applyAlignment="1">
      <alignment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43" xfId="0" applyFont="1" applyFill="1" applyBorder="1" applyAlignment="1">
      <alignment horizontal="center" vertical="center" wrapText="1"/>
    </xf>
    <xf numFmtId="0" fontId="15" fillId="2" borderId="42" xfId="0" applyFont="1" applyFill="1" applyBorder="1" applyAlignment="1">
      <alignment horizontal="center" vertical="center" wrapText="1"/>
    </xf>
    <xf numFmtId="184" fontId="15" fillId="2" borderId="24" xfId="0" applyNumberFormat="1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3" fontId="14" fillId="2" borderId="9" xfId="0" applyNumberFormat="1" applyFont="1" applyFill="1" applyBorder="1" applyAlignment="1">
      <alignment horizontal="center" vertical="center" wrapText="1"/>
    </xf>
    <xf numFmtId="3" fontId="14" fillId="2" borderId="30" xfId="0" applyNumberFormat="1" applyFont="1" applyFill="1" applyBorder="1" applyAlignment="1">
      <alignment horizontal="center" vertical="center" wrapText="1"/>
    </xf>
    <xf numFmtId="8" fontId="14" fillId="2" borderId="30" xfId="0" applyNumberFormat="1" applyFont="1" applyFill="1" applyBorder="1" applyAlignment="1">
      <alignment horizontal="center" vertical="center" wrapText="1"/>
    </xf>
    <xf numFmtId="3" fontId="14" fillId="2" borderId="20" xfId="0" applyNumberFormat="1" applyFont="1" applyFill="1" applyBorder="1" applyAlignment="1">
      <alignment horizontal="center" vertical="center" wrapText="1"/>
    </xf>
    <xf numFmtId="3" fontId="14" fillId="2" borderId="24" xfId="0" applyNumberFormat="1" applyFont="1" applyFill="1" applyBorder="1" applyAlignment="1">
      <alignment horizontal="center" vertical="center" wrapText="1"/>
    </xf>
    <xf numFmtId="8" fontId="14" fillId="2" borderId="25" xfId="0" applyNumberFormat="1" applyFont="1" applyFill="1" applyBorder="1" applyAlignment="1">
      <alignment horizontal="center" vertical="center" wrapText="1"/>
    </xf>
    <xf numFmtId="8" fontId="14" fillId="2" borderId="9" xfId="0" applyNumberFormat="1" applyFont="1" applyFill="1" applyBorder="1" applyAlignment="1">
      <alignment horizontal="center" vertical="center" wrapText="1"/>
    </xf>
    <xf numFmtId="0" fontId="14" fillId="2" borderId="25" xfId="0" applyFont="1" applyFill="1" applyBorder="1">
      <alignment vertical="center"/>
    </xf>
    <xf numFmtId="0" fontId="11" fillId="2" borderId="0" xfId="0" applyFont="1" applyFill="1">
      <alignment vertical="center"/>
    </xf>
    <xf numFmtId="10" fontId="13" fillId="0" borderId="0" xfId="0" applyNumberFormat="1" applyFont="1">
      <alignment vertical="center"/>
    </xf>
    <xf numFmtId="10" fontId="0" fillId="0" borderId="0" xfId="0" applyNumberFormat="1">
      <alignment vertical="center"/>
    </xf>
    <xf numFmtId="183" fontId="16" fillId="15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9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183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 applyProtection="1">
      <alignment horizontal="center" vertical="center"/>
      <protection locked="0"/>
    </xf>
    <xf numFmtId="10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>
      <alignment horizontal="center" vertical="center"/>
    </xf>
    <xf numFmtId="0" fontId="18" fillId="0" borderId="0" xfId="0" applyFont="1" applyProtection="1">
      <alignment vertical="center"/>
      <protection locked="0"/>
    </xf>
    <xf numFmtId="0" fontId="17" fillId="19" borderId="21" xfId="0" applyFont="1" applyFill="1" applyBorder="1" applyAlignment="1" applyProtection="1">
      <alignment horizontal="center" vertical="center"/>
      <protection locked="0"/>
    </xf>
    <xf numFmtId="0" fontId="17" fillId="19" borderId="22" xfId="0" applyFont="1" applyFill="1" applyBorder="1" applyAlignment="1" applyProtection="1">
      <alignment horizontal="center" vertical="center"/>
      <protection locked="0"/>
    </xf>
    <xf numFmtId="0" fontId="17" fillId="19" borderId="23" xfId="0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183" fontId="19" fillId="12" borderId="10" xfId="0" applyNumberFormat="1" applyFont="1" applyFill="1" applyBorder="1" applyAlignment="1">
      <alignment horizontal="center" vertical="center" wrapText="1" readingOrder="1"/>
    </xf>
    <xf numFmtId="0" fontId="16" fillId="12" borderId="11" xfId="0" applyFont="1" applyFill="1" applyBorder="1" applyAlignment="1">
      <alignment horizontal="center" vertical="center"/>
    </xf>
    <xf numFmtId="10" fontId="16" fillId="12" borderId="11" xfId="0" applyNumberFormat="1" applyFont="1" applyFill="1" applyBorder="1" applyAlignment="1">
      <alignment horizontal="center" vertical="center"/>
    </xf>
    <xf numFmtId="185" fontId="16" fillId="12" borderId="12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180" fontId="16" fillId="0" borderId="0" xfId="0" applyNumberFormat="1" applyFont="1" applyProtection="1">
      <alignment vertical="center"/>
      <protection locked="0"/>
    </xf>
    <xf numFmtId="0" fontId="17" fillId="12" borderId="0" xfId="0" applyFont="1" applyFill="1">
      <alignment vertical="center"/>
    </xf>
    <xf numFmtId="0" fontId="16" fillId="12" borderId="0" xfId="0" applyFont="1" applyFill="1" applyProtection="1">
      <alignment vertical="center"/>
      <protection locked="0"/>
    </xf>
    <xf numFmtId="179" fontId="22" fillId="12" borderId="9" xfId="0" applyNumberFormat="1" applyFont="1" applyFill="1" applyBorder="1" applyAlignment="1">
      <alignment horizontal="center" vertical="center" wrapText="1" readingOrder="1"/>
    </xf>
    <xf numFmtId="0" fontId="22" fillId="12" borderId="9" xfId="0" applyFont="1" applyFill="1" applyBorder="1" applyAlignment="1">
      <alignment horizontal="center" vertical="center" wrapText="1" readingOrder="1"/>
    </xf>
    <xf numFmtId="0" fontId="16" fillId="12" borderId="0" xfId="0" applyFont="1" applyFill="1">
      <alignment vertical="center"/>
    </xf>
    <xf numFmtId="3" fontId="19" fillId="12" borderId="9" xfId="0" applyNumberFormat="1" applyFont="1" applyFill="1" applyBorder="1" applyAlignment="1">
      <alignment horizontal="center" vertical="center" wrapText="1" readingOrder="1"/>
    </xf>
    <xf numFmtId="0" fontId="23" fillId="0" borderId="0" xfId="0" applyFont="1" applyProtection="1">
      <alignment vertical="center"/>
      <protection locked="0"/>
    </xf>
    <xf numFmtId="0" fontId="17" fillId="12" borderId="0" xfId="0" applyFont="1" applyFill="1" applyProtection="1">
      <alignment vertical="center"/>
      <protection locked="0"/>
    </xf>
    <xf numFmtId="0" fontId="19" fillId="12" borderId="9" xfId="0" applyFont="1" applyFill="1" applyBorder="1" applyAlignment="1">
      <alignment horizontal="center" vertical="center" wrapText="1" readingOrder="1"/>
    </xf>
    <xf numFmtId="3" fontId="24" fillId="0" borderId="0" xfId="0" applyNumberFormat="1" applyFont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 wrapText="1" readingOrder="1"/>
    </xf>
    <xf numFmtId="10" fontId="19" fillId="12" borderId="9" xfId="0" applyNumberFormat="1" applyFont="1" applyFill="1" applyBorder="1" applyAlignment="1">
      <alignment horizontal="center" vertical="center" wrapText="1" readingOrder="1"/>
    </xf>
    <xf numFmtId="0" fontId="22" fillId="0" borderId="0" xfId="0" applyFont="1" applyProtection="1">
      <alignment vertical="center"/>
      <protection locked="0"/>
    </xf>
    <xf numFmtId="0" fontId="25" fillId="0" borderId="0" xfId="0" applyFont="1">
      <alignment vertical="center"/>
    </xf>
    <xf numFmtId="183" fontId="16" fillId="0" borderId="0" xfId="0" applyNumberFormat="1" applyFont="1" applyProtection="1">
      <alignment vertical="center"/>
      <protection locked="0"/>
    </xf>
    <xf numFmtId="0" fontId="16" fillId="15" borderId="26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16" fillId="10" borderId="27" xfId="0" applyFont="1" applyFill="1" applyBorder="1" applyAlignment="1">
      <alignment horizontal="left" vertical="center"/>
    </xf>
    <xf numFmtId="0" fontId="26" fillId="20" borderId="28" xfId="0" applyFont="1" applyFill="1" applyBorder="1" applyAlignment="1">
      <alignment horizontal="center" vertical="center"/>
    </xf>
    <xf numFmtId="0" fontId="16" fillId="13" borderId="28" xfId="0" applyFont="1" applyFill="1" applyBorder="1">
      <alignment vertical="center"/>
    </xf>
    <xf numFmtId="0" fontId="16" fillId="11" borderId="9" xfId="0" applyFont="1" applyFill="1" applyBorder="1" applyAlignment="1" applyProtection="1">
      <alignment horizontal="center" vertical="center"/>
      <protection locked="0"/>
    </xf>
    <xf numFmtId="179" fontId="16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1" borderId="9" xfId="0" applyFont="1" applyFill="1" applyBorder="1" applyAlignment="1">
      <alignment horizontal="center" vertical="center"/>
    </xf>
    <xf numFmtId="179" fontId="16" fillId="12" borderId="9" xfId="0" applyNumberFormat="1" applyFont="1" applyFill="1" applyBorder="1" applyAlignment="1">
      <alignment horizontal="center" vertical="center"/>
    </xf>
    <xf numFmtId="180" fontId="16" fillId="12" borderId="9" xfId="0" applyNumberFormat="1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179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0" borderId="0" xfId="0" applyNumberFormat="1" applyFont="1" applyProtection="1">
      <alignment vertical="center"/>
      <protection locked="0"/>
    </xf>
    <xf numFmtId="179" fontId="16" fillId="0" borderId="0" xfId="0" applyNumberFormat="1" applyFont="1" applyProtection="1">
      <alignment vertical="center"/>
      <protection locked="0"/>
    </xf>
    <xf numFmtId="0" fontId="16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0" fontId="28" fillId="0" borderId="0" xfId="0" applyFont="1">
      <alignment vertical="center"/>
    </xf>
    <xf numFmtId="0" fontId="29" fillId="16" borderId="9" xfId="0" applyFont="1" applyFill="1" applyBorder="1" applyAlignment="1">
      <alignment horizontal="center" vertical="center" wrapText="1" readingOrder="1"/>
    </xf>
    <xf numFmtId="0" fontId="29" fillId="16" borderId="20" xfId="0" applyFont="1" applyFill="1" applyBorder="1" applyAlignment="1">
      <alignment horizontal="center" vertical="center" wrapText="1" readingOrder="1"/>
    </xf>
    <xf numFmtId="0" fontId="28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6" fillId="0" borderId="0" xfId="0" applyFont="1" applyAlignment="1" applyProtection="1">
      <alignment horizontal="left" vertical="center"/>
      <protection locked="0"/>
    </xf>
    <xf numFmtId="0" fontId="31" fillId="12" borderId="0" xfId="1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31" fillId="0" borderId="0" xfId="1" applyFont="1" applyFill="1" applyAlignment="1" applyProtection="1">
      <alignment vertical="center"/>
    </xf>
    <xf numFmtId="0" fontId="29" fillId="18" borderId="14" xfId="0" applyFont="1" applyFill="1" applyBorder="1" applyAlignment="1" applyProtection="1">
      <alignment horizontal="center" vertical="center" wrapText="1" readingOrder="1"/>
      <protection locked="0"/>
    </xf>
    <xf numFmtId="3" fontId="30" fillId="12" borderId="15" xfId="0" applyNumberFormat="1" applyFont="1" applyFill="1" applyBorder="1" applyAlignment="1">
      <alignment horizontal="center" vertical="center" wrapText="1" readingOrder="1"/>
    </xf>
    <xf numFmtId="0" fontId="29" fillId="18" borderId="15" xfId="0" applyFont="1" applyFill="1" applyBorder="1" applyAlignment="1" applyProtection="1">
      <alignment horizontal="center" vertical="center" wrapText="1" readingOrder="1"/>
      <protection locked="0"/>
    </xf>
    <xf numFmtId="0" fontId="29" fillId="18" borderId="16" xfId="0" applyFont="1" applyFill="1" applyBorder="1" applyAlignment="1" applyProtection="1">
      <alignment horizontal="center" vertical="center" wrapText="1" readingOrder="1"/>
      <protection locked="0"/>
    </xf>
    <xf numFmtId="0" fontId="29" fillId="18" borderId="17" xfId="0" applyFont="1" applyFill="1" applyBorder="1" applyAlignment="1" applyProtection="1">
      <alignment horizontal="center" vertical="center" wrapText="1" readingOrder="1"/>
      <protection locked="0"/>
    </xf>
    <xf numFmtId="0" fontId="29" fillId="18" borderId="18" xfId="0" applyFont="1" applyFill="1" applyBorder="1" applyAlignment="1" applyProtection="1">
      <alignment horizontal="center" vertical="center" wrapText="1" readingOrder="1"/>
      <protection locked="0"/>
    </xf>
    <xf numFmtId="0" fontId="29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0" fillId="12" borderId="15" xfId="0" applyNumberFormat="1" applyFont="1" applyFill="1" applyBorder="1" applyAlignment="1">
      <alignment horizontal="center" vertical="center" wrapText="1" readingOrder="1"/>
    </xf>
    <xf numFmtId="0" fontId="31" fillId="0" borderId="0" xfId="1" applyFont="1" applyProtection="1">
      <alignment vertical="center"/>
      <protection locked="0"/>
    </xf>
    <xf numFmtId="183" fontId="32" fillId="10" borderId="9" xfId="0" applyNumberFormat="1" applyFont="1" applyFill="1" applyBorder="1" applyAlignment="1" applyProtection="1">
      <alignment horizontal="center" vertical="center"/>
      <protection locked="0"/>
    </xf>
    <xf numFmtId="180" fontId="32" fillId="10" borderId="9" xfId="0" applyNumberFormat="1" applyFont="1" applyFill="1" applyBorder="1" applyAlignment="1" applyProtection="1">
      <alignment horizontal="center" vertical="center"/>
      <protection locked="0"/>
    </xf>
    <xf numFmtId="10" fontId="32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21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5" borderId="24" xfId="0" applyFont="1" applyFill="1" applyBorder="1" applyAlignment="1">
      <alignment horizontal="center" vertical="center"/>
    </xf>
    <xf numFmtId="0" fontId="16" fillId="15" borderId="9" xfId="0" applyFont="1" applyFill="1" applyBorder="1" applyAlignment="1">
      <alignment horizontal="center" vertical="center"/>
    </xf>
    <xf numFmtId="0" fontId="16" fillId="15" borderId="25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10" fontId="16" fillId="12" borderId="12" xfId="0" applyNumberFormat="1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 wrapText="1" readingOrder="1"/>
    </xf>
    <xf numFmtId="0" fontId="33" fillId="16" borderId="20" xfId="0" applyFont="1" applyFill="1" applyBorder="1" applyAlignment="1">
      <alignment horizontal="center" vertical="center" wrapText="1" readingOrder="1"/>
    </xf>
    <xf numFmtId="0" fontId="32" fillId="0" borderId="21" xfId="0" applyFont="1" applyBorder="1">
      <alignment vertical="center"/>
    </xf>
    <xf numFmtId="0" fontId="32" fillId="0" borderId="23" xfId="0" applyFont="1" applyBorder="1">
      <alignment vertical="center"/>
    </xf>
    <xf numFmtId="0" fontId="32" fillId="0" borderId="24" xfId="0" applyFont="1" applyBorder="1">
      <alignment vertical="center"/>
    </xf>
    <xf numFmtId="0" fontId="32" fillId="0" borderId="25" xfId="0" applyFont="1" applyBorder="1">
      <alignment vertical="center"/>
    </xf>
    <xf numFmtId="0" fontId="32" fillId="0" borderId="10" xfId="0" applyFont="1" applyBorder="1">
      <alignment vertical="center"/>
    </xf>
    <xf numFmtId="0" fontId="32" fillId="0" borderId="12" xfId="0" applyFont="1" applyBorder="1">
      <alignment vertical="center"/>
    </xf>
    <xf numFmtId="0" fontId="31" fillId="0" borderId="0" xfId="1" applyFont="1">
      <alignment vertical="center"/>
    </xf>
    <xf numFmtId="182" fontId="16" fillId="12" borderId="24" xfId="0" applyNumberFormat="1" applyFont="1" applyFill="1" applyBorder="1">
      <alignment vertical="center"/>
    </xf>
    <xf numFmtId="180" fontId="16" fillId="12" borderId="25" xfId="0" applyNumberFormat="1" applyFont="1" applyFill="1" applyBorder="1">
      <alignment vertical="center"/>
    </xf>
    <xf numFmtId="180" fontId="16" fillId="0" borderId="0" xfId="0" applyNumberFormat="1" applyFont="1">
      <alignment vertical="center"/>
    </xf>
    <xf numFmtId="177" fontId="34" fillId="0" borderId="9" xfId="0" applyNumberFormat="1" applyFont="1" applyBorder="1" applyAlignment="1">
      <alignment horizontal="center" vertical="center" wrapText="1" readingOrder="1"/>
    </xf>
    <xf numFmtId="0" fontId="35" fillId="0" borderId="9" xfId="0" applyFont="1" applyBorder="1" applyAlignment="1">
      <alignment horizontal="center" vertical="center" wrapText="1" readingOrder="1"/>
    </xf>
    <xf numFmtId="181" fontId="35" fillId="0" borderId="9" xfId="0" applyNumberFormat="1" applyFont="1" applyBorder="1" applyAlignment="1">
      <alignment horizontal="center" vertical="center" wrapText="1" readingOrder="1"/>
    </xf>
    <xf numFmtId="10" fontId="35" fillId="0" borderId="9" xfId="0" applyNumberFormat="1" applyFont="1" applyBorder="1" applyAlignment="1">
      <alignment horizontal="center" vertical="center" wrapText="1" readingOrder="1"/>
    </xf>
    <xf numFmtId="0" fontId="33" fillId="18" borderId="14" xfId="0" applyFont="1" applyFill="1" applyBorder="1" applyAlignment="1" applyProtection="1">
      <alignment horizontal="center" vertical="center" wrapText="1" readingOrder="1"/>
      <protection locked="0"/>
    </xf>
    <xf numFmtId="3" fontId="35" fillId="12" borderId="15" xfId="0" applyNumberFormat="1" applyFont="1" applyFill="1" applyBorder="1" applyAlignment="1">
      <alignment horizontal="center" vertical="center" wrapText="1" readingOrder="1"/>
    </xf>
    <xf numFmtId="0" fontId="33" fillId="18" borderId="15" xfId="0" applyFont="1" applyFill="1" applyBorder="1" applyAlignment="1" applyProtection="1">
      <alignment horizontal="center" vertical="center" wrapText="1" readingOrder="1"/>
      <protection locked="0"/>
    </xf>
    <xf numFmtId="0" fontId="36" fillId="0" borderId="0" xfId="0" applyFont="1" applyProtection="1">
      <alignment vertical="center"/>
      <protection locked="0"/>
    </xf>
    <xf numFmtId="0" fontId="33" fillId="18" borderId="16" xfId="0" applyFont="1" applyFill="1" applyBorder="1" applyAlignment="1" applyProtection="1">
      <alignment horizontal="center" vertical="center" wrapText="1" readingOrder="1"/>
      <protection locked="0"/>
    </xf>
    <xf numFmtId="0" fontId="33" fillId="18" borderId="17" xfId="0" applyFont="1" applyFill="1" applyBorder="1" applyAlignment="1" applyProtection="1">
      <alignment horizontal="center" vertical="center" wrapText="1" readingOrder="1"/>
      <protection locked="0"/>
    </xf>
    <xf numFmtId="0" fontId="33" fillId="18" borderId="18" xfId="0" applyFont="1" applyFill="1" applyBorder="1" applyAlignment="1" applyProtection="1">
      <alignment horizontal="center" vertical="center" wrapText="1" readingOrder="1"/>
      <protection locked="0"/>
    </xf>
    <xf numFmtId="0" fontId="33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5" fillId="12" borderId="15" xfId="0" applyNumberFormat="1" applyFont="1" applyFill="1" applyBorder="1" applyAlignment="1">
      <alignment horizontal="center" vertical="center" wrapText="1" readingOrder="1"/>
    </xf>
    <xf numFmtId="0" fontId="37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186" fontId="35" fillId="0" borderId="9" xfId="0" applyNumberFormat="1" applyFont="1" applyBorder="1" applyAlignment="1">
      <alignment horizontal="center" vertical="center" wrapText="1" readingOrder="1"/>
    </xf>
    <xf numFmtId="0" fontId="39" fillId="21" borderId="48" xfId="0" applyFont="1" applyFill="1" applyBorder="1" applyAlignment="1">
      <alignment horizontal="center" vertical="center" wrapText="1" readingOrder="1"/>
    </xf>
    <xf numFmtId="0" fontId="39" fillId="22" borderId="48" xfId="0" applyFont="1" applyFill="1" applyBorder="1" applyAlignment="1">
      <alignment horizontal="center" vertical="center" wrapText="1" readingOrder="1"/>
    </xf>
    <xf numFmtId="0" fontId="25" fillId="0" borderId="0" xfId="0" applyFont="1" applyAlignment="1">
      <alignment horizontal="left" vertical="center" readingOrder="1"/>
    </xf>
    <xf numFmtId="0" fontId="41" fillId="0" borderId="0" xfId="0" applyFont="1" applyAlignment="1">
      <alignment horizontal="left" vertical="center" indent="1" readingOrder="1"/>
    </xf>
    <xf numFmtId="0" fontId="45" fillId="0" borderId="0" xfId="0" applyFont="1" applyAlignment="1">
      <alignment horizontal="left" vertical="center" readingOrder="1"/>
    </xf>
    <xf numFmtId="0" fontId="42" fillId="0" borderId="0" xfId="0" applyFont="1">
      <alignment vertical="center"/>
    </xf>
    <xf numFmtId="0" fontId="38" fillId="0" borderId="0" xfId="0" applyFont="1" applyAlignment="1">
      <alignment horizontal="left" vertical="center" indent="1" readingOrder="1"/>
    </xf>
    <xf numFmtId="0" fontId="47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readingOrder="1"/>
    </xf>
    <xf numFmtId="0" fontId="35" fillId="0" borderId="0" xfId="0" applyFont="1" applyAlignment="1">
      <alignment horizontal="left" vertical="center" readingOrder="1"/>
    </xf>
    <xf numFmtId="0" fontId="51" fillId="0" borderId="0" xfId="0" applyFont="1" applyAlignment="1">
      <alignment horizontal="left" vertical="center" readingOrder="1"/>
    </xf>
    <xf numFmtId="0" fontId="53" fillId="0" borderId="0" xfId="0" applyFont="1" applyAlignment="1">
      <alignment horizontal="left" vertical="center" indent="1" readingOrder="1"/>
    </xf>
    <xf numFmtId="0" fontId="55" fillId="0" borderId="0" xfId="0" applyFont="1" applyAlignment="1">
      <alignment horizontal="left" vertical="center" readingOrder="1"/>
    </xf>
    <xf numFmtId="0" fontId="33" fillId="0" borderId="0" xfId="0" applyFont="1" applyAlignment="1">
      <alignment horizontal="left" vertical="center" readingOrder="1"/>
    </xf>
    <xf numFmtId="0" fontId="35" fillId="0" borderId="0" xfId="0" applyFont="1">
      <alignment vertical="center"/>
    </xf>
    <xf numFmtId="0" fontId="57" fillId="0" borderId="0" xfId="0" applyFont="1" applyAlignment="1">
      <alignment horizontal="left" vertical="center" readingOrder="1"/>
    </xf>
    <xf numFmtId="0" fontId="42" fillId="0" borderId="0" xfId="0" quotePrefix="1" applyFont="1" applyAlignment="1">
      <alignment horizontal="left" vertical="center" indent="1" readingOrder="1"/>
    </xf>
    <xf numFmtId="0" fontId="30" fillId="0" borderId="0" xfId="0" applyFont="1" applyAlignment="1">
      <alignment horizontal="left" vertical="center" readingOrder="1"/>
    </xf>
    <xf numFmtId="0" fontId="58" fillId="0" borderId="0" xfId="0" applyFont="1" applyAlignment="1">
      <alignment horizontal="left" vertical="center" indent="1" readingOrder="1"/>
    </xf>
    <xf numFmtId="0" fontId="27" fillId="0" borderId="0" xfId="0" applyFont="1">
      <alignment vertical="center"/>
    </xf>
    <xf numFmtId="10" fontId="16" fillId="0" borderId="0" xfId="0" applyNumberFormat="1" applyFont="1" applyProtection="1">
      <alignment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center" vertical="center"/>
      <protection locked="0"/>
    </xf>
    <xf numFmtId="0" fontId="21" fillId="13" borderId="0" xfId="0" applyFont="1" applyFill="1" applyAlignment="1">
      <alignment horizontal="center" vertical="center"/>
    </xf>
    <xf numFmtId="0" fontId="17" fillId="17" borderId="9" xfId="0" applyFont="1" applyFill="1" applyBorder="1" applyAlignment="1">
      <alignment horizontal="center" vertical="center"/>
    </xf>
    <xf numFmtId="0" fontId="17" fillId="15" borderId="45" xfId="0" applyFont="1" applyFill="1" applyBorder="1" applyAlignment="1">
      <alignment horizontal="center" vertical="center"/>
    </xf>
    <xf numFmtId="0" fontId="17" fillId="15" borderId="46" xfId="0" applyFont="1" applyFill="1" applyBorder="1" applyAlignment="1">
      <alignment horizontal="center" vertical="center"/>
    </xf>
    <xf numFmtId="0" fontId="17" fillId="15" borderId="47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추이'!$Q$5:$Q$16</c:f>
              <c:numCache>
                <c:formatCode>General</c:formatCode>
                <c:ptCount val="12"/>
                <c:pt idx="0">
                  <c:v>327807</c:v>
                </c:pt>
                <c:pt idx="1">
                  <c:v>327316</c:v>
                </c:pt>
                <c:pt idx="2">
                  <c:v>326663</c:v>
                </c:pt>
                <c:pt idx="3">
                  <c:v>325870</c:v>
                </c:pt>
                <c:pt idx="4">
                  <c:v>325213</c:v>
                </c:pt>
                <c:pt idx="5">
                  <c:v>324457</c:v>
                </c:pt>
                <c:pt idx="6">
                  <c:v>323919</c:v>
                </c:pt>
                <c:pt idx="7">
                  <c:v>323559</c:v>
                </c:pt>
                <c:pt idx="8">
                  <c:v>323315</c:v>
                </c:pt>
                <c:pt idx="9">
                  <c:v>323112</c:v>
                </c:pt>
                <c:pt idx="10">
                  <c:v>322812</c:v>
                </c:pt>
                <c:pt idx="11">
                  <c:v>322563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0-4313-A46E-7A3F765125D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추이'!$R$5:$R$16</c:f>
              <c:numCache>
                <c:formatCode>General</c:formatCode>
                <c:ptCount val="12"/>
                <c:pt idx="0">
                  <c:v>24351</c:v>
                </c:pt>
                <c:pt idx="1">
                  <c:v>24169</c:v>
                </c:pt>
                <c:pt idx="2">
                  <c:v>24349</c:v>
                </c:pt>
                <c:pt idx="3">
                  <c:v>24077</c:v>
                </c:pt>
                <c:pt idx="4">
                  <c:v>23803</c:v>
                </c:pt>
                <c:pt idx="5">
                  <c:v>23534</c:v>
                </c:pt>
                <c:pt idx="6">
                  <c:v>24159</c:v>
                </c:pt>
                <c:pt idx="7">
                  <c:v>24029</c:v>
                </c:pt>
                <c:pt idx="8">
                  <c:v>24433</c:v>
                </c:pt>
                <c:pt idx="9">
                  <c:v>24386</c:v>
                </c:pt>
                <c:pt idx="10">
                  <c:v>24480</c:v>
                </c:pt>
                <c:pt idx="11">
                  <c:v>24781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15-4328-8EF7-98C92379E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209685</c:v>
                </c:pt>
                <c:pt idx="1">
                  <c:v>206054</c:v>
                </c:pt>
                <c:pt idx="2">
                  <c:v>204222</c:v>
                </c:pt>
                <c:pt idx="3">
                  <c:v>203190</c:v>
                </c:pt>
                <c:pt idx="4">
                  <c:v>200818</c:v>
                </c:pt>
                <c:pt idx="5">
                  <c:v>198550</c:v>
                </c:pt>
                <c:pt idx="6">
                  <c:v>196824</c:v>
                </c:pt>
                <c:pt idx="7">
                  <c:v>195398</c:v>
                </c:pt>
                <c:pt idx="8">
                  <c:v>194084</c:v>
                </c:pt>
                <c:pt idx="9">
                  <c:v>192883</c:v>
                </c:pt>
                <c:pt idx="10">
                  <c:v>191636</c:v>
                </c:pt>
                <c:pt idx="11">
                  <c:v>190280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21-4F78-ABDC-005F30C2C8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322805</c:v>
                </c:pt>
                <c:pt idx="1">
                  <c:v>322772</c:v>
                </c:pt>
                <c:pt idx="2">
                  <c:v>322772</c:v>
                </c:pt>
                <c:pt idx="3">
                  <c:v>322772</c:v>
                </c:pt>
                <c:pt idx="4">
                  <c:v>322756</c:v>
                </c:pt>
                <c:pt idx="5">
                  <c:v>322753</c:v>
                </c:pt>
                <c:pt idx="6">
                  <c:v>322736</c:v>
                </c:pt>
                <c:pt idx="7">
                  <c:v>322737</c:v>
                </c:pt>
                <c:pt idx="8">
                  <c:v>322750</c:v>
                </c:pt>
                <c:pt idx="9">
                  <c:v>322750</c:v>
                </c:pt>
                <c:pt idx="10">
                  <c:v>322750</c:v>
                </c:pt>
                <c:pt idx="11">
                  <c:v>322734</c:v>
                </c:pt>
                <c:pt idx="12">
                  <c:v>322729</c:v>
                </c:pt>
                <c:pt idx="13">
                  <c:v>322655</c:v>
                </c:pt>
                <c:pt idx="14">
                  <c:v>322655</c:v>
                </c:pt>
                <c:pt idx="15">
                  <c:v>322599</c:v>
                </c:pt>
                <c:pt idx="16">
                  <c:v>322599</c:v>
                </c:pt>
                <c:pt idx="17">
                  <c:v>322599</c:v>
                </c:pt>
                <c:pt idx="18">
                  <c:v>322580</c:v>
                </c:pt>
                <c:pt idx="19">
                  <c:v>322573</c:v>
                </c:pt>
                <c:pt idx="20">
                  <c:v>322558</c:v>
                </c:pt>
                <c:pt idx="21">
                  <c:v>322569</c:v>
                </c:pt>
                <c:pt idx="22">
                  <c:v>322489</c:v>
                </c:pt>
                <c:pt idx="23">
                  <c:v>322489</c:v>
                </c:pt>
                <c:pt idx="24">
                  <c:v>322489</c:v>
                </c:pt>
                <c:pt idx="25">
                  <c:v>322452</c:v>
                </c:pt>
                <c:pt idx="26">
                  <c:v>322534</c:v>
                </c:pt>
                <c:pt idx="27">
                  <c:v>322560</c:v>
                </c:pt>
                <c:pt idx="28">
                  <c:v>322566</c:v>
                </c:pt>
                <c:pt idx="29">
                  <c:v>322563</c:v>
                </c:pt>
                <c:pt idx="30">
                  <c:v>322563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일일data!$N$4:$N$33</c:f>
              <c:numCache>
                <c:formatCode>_-* #,##0_-;\-* #,##0_-;_-* "-"_-;_-@</c:formatCode>
                <c:ptCount val="30"/>
                <c:pt idx="0">
                  <c:v>11</c:v>
                </c:pt>
                <c:pt idx="1">
                  <c:v>17</c:v>
                </c:pt>
                <c:pt idx="2">
                  <c:v>13</c:v>
                </c:pt>
                <c:pt idx="3">
                  <c:v>1</c:v>
                </c:pt>
                <c:pt idx="4">
                  <c:v>16</c:v>
                </c:pt>
                <c:pt idx="5">
                  <c:v>12</c:v>
                </c:pt>
                <c:pt idx="6">
                  <c:v>11</c:v>
                </c:pt>
                <c:pt idx="7">
                  <c:v>13</c:v>
                </c:pt>
                <c:pt idx="8">
                  <c:v>17</c:v>
                </c:pt>
                <c:pt idx="9">
                  <c:v>21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11</c:v>
                </c:pt>
                <c:pt idx="19">
                  <c:v>9</c:v>
                </c:pt>
                <c:pt idx="20">
                  <c:v>7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28</c:v>
                </c:pt>
                <c:pt idx="25">
                  <c:v>37</c:v>
                </c:pt>
                <c:pt idx="26">
                  <c:v>36</c:v>
                </c:pt>
                <c:pt idx="27">
                  <c:v>29</c:v>
                </c:pt>
                <c:pt idx="28">
                  <c:v>29</c:v>
                </c:pt>
                <c:pt idx="2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cat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Algn val="ctr"/>
        <c:lblOffset val="100"/>
        <c:noMultiLvlLbl val="1"/>
      </c:cat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일일data!$U$3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24499</c:v>
                </c:pt>
                <c:pt idx="1">
                  <c:v>24523</c:v>
                </c:pt>
                <c:pt idx="2">
                  <c:v>24523</c:v>
                </c:pt>
                <c:pt idx="3">
                  <c:v>24523</c:v>
                </c:pt>
                <c:pt idx="4">
                  <c:v>24527</c:v>
                </c:pt>
                <c:pt idx="5">
                  <c:v>24515</c:v>
                </c:pt>
                <c:pt idx="6">
                  <c:v>24517</c:v>
                </c:pt>
                <c:pt idx="7">
                  <c:v>24511</c:v>
                </c:pt>
                <c:pt idx="8">
                  <c:v>24501</c:v>
                </c:pt>
                <c:pt idx="9">
                  <c:v>24501</c:v>
                </c:pt>
                <c:pt idx="10">
                  <c:v>24501</c:v>
                </c:pt>
                <c:pt idx="11">
                  <c:v>24496</c:v>
                </c:pt>
                <c:pt idx="12">
                  <c:v>24499</c:v>
                </c:pt>
                <c:pt idx="13">
                  <c:v>24493</c:v>
                </c:pt>
                <c:pt idx="14">
                  <c:v>24493</c:v>
                </c:pt>
                <c:pt idx="15">
                  <c:v>24480</c:v>
                </c:pt>
                <c:pt idx="16">
                  <c:v>24480</c:v>
                </c:pt>
                <c:pt idx="17">
                  <c:v>24480</c:v>
                </c:pt>
                <c:pt idx="18">
                  <c:v>24467</c:v>
                </c:pt>
                <c:pt idx="19">
                  <c:v>24460</c:v>
                </c:pt>
                <c:pt idx="20">
                  <c:v>24467</c:v>
                </c:pt>
                <c:pt idx="21">
                  <c:v>24508</c:v>
                </c:pt>
                <c:pt idx="22">
                  <c:v>24646</c:v>
                </c:pt>
                <c:pt idx="23">
                  <c:v>24646</c:v>
                </c:pt>
                <c:pt idx="24">
                  <c:v>24646</c:v>
                </c:pt>
                <c:pt idx="25">
                  <c:v>24690</c:v>
                </c:pt>
                <c:pt idx="26">
                  <c:v>24717</c:v>
                </c:pt>
                <c:pt idx="27">
                  <c:v>24751</c:v>
                </c:pt>
                <c:pt idx="28">
                  <c:v>24781</c:v>
                </c:pt>
                <c:pt idx="29">
                  <c:v>24781</c:v>
                </c:pt>
                <c:pt idx="30">
                  <c:v>24781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일일data!$V$4:$V$34</c:f>
              <c:numCache>
                <c:formatCode>_-* #,##0_-;\-* #,##0_-;_-* "-"_-;_-@</c:formatCode>
                <c:ptCount val="31"/>
                <c:pt idx="0">
                  <c:v>24</c:v>
                </c:pt>
                <c:pt idx="1">
                  <c:v>37</c:v>
                </c:pt>
                <c:pt idx="2">
                  <c:v>19</c:v>
                </c:pt>
                <c:pt idx="3">
                  <c:v>20</c:v>
                </c:pt>
                <c:pt idx="4">
                  <c:v>12</c:v>
                </c:pt>
                <c:pt idx="5">
                  <c:v>3</c:v>
                </c:pt>
                <c:pt idx="6">
                  <c:v>8</c:v>
                </c:pt>
                <c:pt idx="7">
                  <c:v>3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16</c:v>
                </c:pt>
                <c:pt idx="13">
                  <c:v>13</c:v>
                </c:pt>
                <c:pt idx="14">
                  <c:v>11</c:v>
                </c:pt>
                <c:pt idx="15">
                  <c:v>15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14</c:v>
                </c:pt>
                <c:pt idx="20">
                  <c:v>9</c:v>
                </c:pt>
                <c:pt idx="21">
                  <c:v>54</c:v>
                </c:pt>
                <c:pt idx="22">
                  <c:v>53</c:v>
                </c:pt>
                <c:pt idx="23">
                  <c:v>70</c:v>
                </c:pt>
                <c:pt idx="24">
                  <c:v>66</c:v>
                </c:pt>
                <c:pt idx="25">
                  <c:v>37</c:v>
                </c:pt>
                <c:pt idx="26">
                  <c:v>40</c:v>
                </c:pt>
                <c:pt idx="27">
                  <c:v>44</c:v>
                </c:pt>
                <c:pt idx="28">
                  <c:v>44</c:v>
                </c:pt>
                <c:pt idx="29">
                  <c:v>29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191598</c:v>
                </c:pt>
                <c:pt idx="1">
                  <c:v>191548</c:v>
                </c:pt>
                <c:pt idx="2">
                  <c:v>191502</c:v>
                </c:pt>
                <c:pt idx="3">
                  <c:v>191459</c:v>
                </c:pt>
                <c:pt idx="4">
                  <c:v>191386</c:v>
                </c:pt>
                <c:pt idx="5">
                  <c:v>191332</c:v>
                </c:pt>
                <c:pt idx="6">
                  <c:v>191286</c:v>
                </c:pt>
                <c:pt idx="7">
                  <c:v>191241</c:v>
                </c:pt>
                <c:pt idx="8">
                  <c:v>191203</c:v>
                </c:pt>
                <c:pt idx="9">
                  <c:v>191147</c:v>
                </c:pt>
                <c:pt idx="10">
                  <c:v>191111</c:v>
                </c:pt>
                <c:pt idx="11">
                  <c:v>191072</c:v>
                </c:pt>
                <c:pt idx="12">
                  <c:v>191031</c:v>
                </c:pt>
                <c:pt idx="13">
                  <c:v>190917</c:v>
                </c:pt>
                <c:pt idx="14">
                  <c:v>190917</c:v>
                </c:pt>
                <c:pt idx="15">
                  <c:v>190890</c:v>
                </c:pt>
                <c:pt idx="16">
                  <c:v>190841</c:v>
                </c:pt>
                <c:pt idx="17">
                  <c:v>190811</c:v>
                </c:pt>
                <c:pt idx="18">
                  <c:v>190765</c:v>
                </c:pt>
                <c:pt idx="19">
                  <c:v>190719</c:v>
                </c:pt>
                <c:pt idx="20">
                  <c:v>190688</c:v>
                </c:pt>
                <c:pt idx="21">
                  <c:v>190646</c:v>
                </c:pt>
                <c:pt idx="22">
                  <c:v>190606</c:v>
                </c:pt>
                <c:pt idx="23">
                  <c:v>190558</c:v>
                </c:pt>
                <c:pt idx="24">
                  <c:v>190536</c:v>
                </c:pt>
                <c:pt idx="25">
                  <c:v>190488</c:v>
                </c:pt>
                <c:pt idx="26">
                  <c:v>190456</c:v>
                </c:pt>
                <c:pt idx="27">
                  <c:v>190417</c:v>
                </c:pt>
                <c:pt idx="28">
                  <c:v>190375</c:v>
                </c:pt>
                <c:pt idx="29">
                  <c:v>190314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209685</c:v>
                </c:pt>
                <c:pt idx="1">
                  <c:v>206054</c:v>
                </c:pt>
                <c:pt idx="2">
                  <c:v>204222</c:v>
                </c:pt>
                <c:pt idx="3">
                  <c:v>203190</c:v>
                </c:pt>
                <c:pt idx="4">
                  <c:v>200818</c:v>
                </c:pt>
                <c:pt idx="5">
                  <c:v>198550</c:v>
                </c:pt>
                <c:pt idx="6">
                  <c:v>196824</c:v>
                </c:pt>
                <c:pt idx="7">
                  <c:v>195398</c:v>
                </c:pt>
                <c:pt idx="8">
                  <c:v>194084</c:v>
                </c:pt>
                <c:pt idx="9">
                  <c:v>192883</c:v>
                </c:pt>
                <c:pt idx="10">
                  <c:v>191636</c:v>
                </c:pt>
                <c:pt idx="11">
                  <c:v>190280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7</xdr:row>
      <xdr:rowOff>9525</xdr:rowOff>
    </xdr:from>
    <xdr:to>
      <xdr:col>13</xdr:col>
      <xdr:colOff>371475</xdr:colOff>
      <xdr:row>13</xdr:row>
      <xdr:rowOff>158115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302895</xdr:colOff>
      <xdr:row>17</xdr:row>
      <xdr:rowOff>38830</xdr:rowOff>
    </xdr:from>
    <xdr:to>
      <xdr:col>13</xdr:col>
      <xdr:colOff>379095</xdr:colOff>
      <xdr:row>24</xdr:row>
      <xdr:rowOff>50260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310515</xdr:colOff>
      <xdr:row>26</xdr:row>
      <xdr:rowOff>175435</xdr:rowOff>
    </xdr:from>
    <xdr:to>
      <xdr:col>13</xdr:col>
      <xdr:colOff>379095</xdr:colOff>
      <xdr:row>34</xdr:row>
      <xdr:rowOff>68755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661987</xdr:colOff>
      <xdr:row>31</xdr:row>
      <xdr:rowOff>200023</xdr:rowOff>
    </xdr:from>
    <xdr:to>
      <xdr:col>14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topLeftCell="A7" workbookViewId="0">
      <selection activeCell="J10" sqref="J10"/>
    </sheetView>
  </sheetViews>
  <sheetFormatPr defaultRowHeight="16.5"/>
  <cols>
    <col min="1" max="1" width="103.125" customWidth="1"/>
  </cols>
  <sheetData>
    <row r="7" spans="1:2" ht="17.25" thickBot="1"/>
    <row r="8" spans="1:2">
      <c r="A8" s="49" t="s">
        <v>101</v>
      </c>
    </row>
    <row r="9" spans="1:2" ht="17.25" thickBot="1">
      <c r="A9" s="48">
        <v>2024</v>
      </c>
    </row>
    <row r="10" spans="1:2" ht="17.25" thickBot="1">
      <c r="A10" s="47"/>
    </row>
    <row r="11" spans="1:2">
      <c r="A11" s="136" t="s">
        <v>102</v>
      </c>
      <c r="B11" s="137"/>
    </row>
    <row r="12" spans="1:2" ht="17.25" thickBot="1">
      <c r="A12" s="138">
        <v>8</v>
      </c>
      <c r="B12" s="137"/>
    </row>
    <row r="13" spans="1:2">
      <c r="A13" s="137"/>
      <c r="B13" s="137"/>
    </row>
    <row r="14" spans="1:2" ht="34.5" customHeight="1">
      <c r="A14" s="139" t="s">
        <v>99</v>
      </c>
      <c r="B14" s="137"/>
    </row>
    <row r="15" spans="1:2" ht="27" customHeight="1">
      <c r="A15" s="140" t="s">
        <v>209</v>
      </c>
      <c r="B15" s="137"/>
    </row>
    <row r="16" spans="1:2" ht="27" customHeight="1">
      <c r="A16" s="140" t="s">
        <v>100</v>
      </c>
      <c r="B16" s="137"/>
    </row>
    <row r="17" spans="1:2" ht="27" customHeight="1">
      <c r="A17" s="140" t="str">
        <f>IF(A9&amp;A12=YEAR(일일data!A4)&amp;MONTH(일일data!A4),"3) 일일 data 삽입 완료","3) 일일data 시트 A4에 해당 월 수치 값붙하시오(일일보고서 데이터)")</f>
        <v>3) 일일 data 삽입 완료</v>
      </c>
      <c r="B17" s="137" t="b">
        <f>OR(ISNUMBER(SEARCH("완료",A17)),ISNUMBER(SEARCH("완성",A17)))</f>
        <v>1</v>
      </c>
    </row>
    <row r="18" spans="1:2" ht="27" customHeight="1">
      <c r="A18" s="140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s="137" t="b">
        <f t="shared" ref="B18:B23" si="0">OR(ISNUMBER(SEARCH("완료",A18)),ISNUMBER(SEARCH("완성",A18)))</f>
        <v>1</v>
      </c>
    </row>
    <row r="19" spans="1:2" ht="27" customHeight="1">
      <c r="A19" s="140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s="137" t="b">
        <f t="shared" si="0"/>
        <v>1</v>
      </c>
    </row>
    <row r="20" spans="1:2" ht="27" customHeight="1">
      <c r="A20" s="140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s="137" t="b">
        <f t="shared" si="0"/>
        <v>1</v>
      </c>
    </row>
    <row r="21" spans="1:2" ht="27" customHeight="1">
      <c r="A21" s="140" t="str">
        <f>IF('IG 콘텐츠 data'!A2="","7) IG 콘텐츠 data 시트 A1에 인스타 로우데이터(목록행 포함) 값붙하시오.","7) IG 콘텐츠 데이터 삽입 완료")</f>
        <v>7) IG 콘텐츠 데이터 삽입 완료</v>
      </c>
      <c r="B21" s="137" t="b">
        <f t="shared" si="0"/>
        <v>1</v>
      </c>
    </row>
    <row r="22" spans="1:2" ht="27" customHeight="1">
      <c r="A22" s="140" t="str">
        <f>IF(ISNUMBER(SEARCH("값붙",'IG 커버'!J7))=TRUE,"8) IG 커버 시트 우측 표에 신규 좋아요 수치 기입 후 우측표의 값을 왼쪽 표 하단에 값붙하시오","8) IG 커버 시트 완성")</f>
        <v>8) IG 커버 시트 완성</v>
      </c>
      <c r="B22" s="137" t="b">
        <f t="shared" si="0"/>
        <v>1</v>
      </c>
    </row>
    <row r="23" spans="1:2" ht="27" customHeight="1">
      <c r="A23" s="140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s="137" t="b">
        <f t="shared" si="0"/>
        <v>1</v>
      </c>
    </row>
    <row r="24" spans="1:2" ht="27" customHeight="1">
      <c r="A24" s="140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  <c r="B24" s="137"/>
    </row>
    <row r="25" spans="1:2" ht="16.5" customHeight="1"/>
    <row r="26" spans="1:2" ht="16.5" customHeight="1"/>
  </sheetData>
  <phoneticPr fontId="1" type="noConversion"/>
  <conditionalFormatting sqref="A17:A23">
    <cfRule type="containsText" dxfId="8" priority="4" operator="containsText" text="기입">
      <formula>NOT(ISERROR(SEARCH("기입",A17)))</formula>
    </cfRule>
    <cfRule type="containsText" dxfId="7" priority="5" operator="containsText" text="값붙">
      <formula>NOT(ISERROR(SEARCH("값붙",A17)))</formula>
    </cfRule>
  </conditionalFormatting>
  <conditionalFormatting sqref="A24">
    <cfRule type="containsText" dxfId="6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Z36"/>
  <sheetViews>
    <sheetView workbookViewId="0">
      <selection activeCell="AC16" sqref="AC16"/>
    </sheetView>
  </sheetViews>
  <sheetFormatPr defaultRowHeight="16.5"/>
  <sheetData>
    <row r="1" spans="1:26">
      <c r="A1" s="232" t="s">
        <v>0</v>
      </c>
      <c r="B1" s="233"/>
      <c r="C1" s="234" t="s">
        <v>1</v>
      </c>
      <c r="D1" s="235"/>
      <c r="E1" s="235"/>
      <c r="F1" s="235"/>
      <c r="G1" s="235"/>
      <c r="H1" s="235"/>
      <c r="I1" s="235"/>
      <c r="J1" s="235"/>
      <c r="K1" s="235"/>
      <c r="L1" s="236"/>
      <c r="M1" s="237" t="s">
        <v>2</v>
      </c>
      <c r="N1" s="238"/>
      <c r="O1" s="238"/>
      <c r="P1" s="238"/>
      <c r="Q1" s="238"/>
      <c r="R1" s="238"/>
      <c r="S1" s="238"/>
      <c r="T1" s="239"/>
      <c r="U1" s="240" t="s">
        <v>3</v>
      </c>
      <c r="V1" s="241"/>
      <c r="W1" s="241"/>
      <c r="X1" s="241"/>
      <c r="Y1" s="242"/>
      <c r="Z1" s="28" t="s">
        <v>4</v>
      </c>
    </row>
    <row r="2" spans="1:26">
      <c r="A2" s="243" t="s">
        <v>110</v>
      </c>
      <c r="B2" s="244"/>
      <c r="C2" s="29" t="s">
        <v>5</v>
      </c>
      <c r="D2" s="245" t="s">
        <v>6</v>
      </c>
      <c r="E2" s="246"/>
      <c r="F2" s="247"/>
      <c r="G2" s="245" t="s">
        <v>7</v>
      </c>
      <c r="H2" s="246"/>
      <c r="I2" s="247"/>
      <c r="J2" s="245" t="s">
        <v>8</v>
      </c>
      <c r="K2" s="246"/>
      <c r="L2" s="247"/>
      <c r="M2" s="248" t="s">
        <v>9</v>
      </c>
      <c r="N2" s="249"/>
      <c r="O2" s="249"/>
      <c r="P2" s="249"/>
      <c r="Q2" s="249"/>
      <c r="R2" s="249"/>
      <c r="S2" s="249"/>
      <c r="T2" s="250"/>
      <c r="U2" s="240" t="s">
        <v>9</v>
      </c>
      <c r="V2" s="241"/>
      <c r="W2" s="241"/>
      <c r="X2" s="241"/>
      <c r="Y2" s="242"/>
      <c r="Z2" s="28" t="s">
        <v>10</v>
      </c>
    </row>
    <row r="3" spans="1:26">
      <c r="A3" s="39" t="s">
        <v>19</v>
      </c>
      <c r="B3" s="39" t="s">
        <v>20</v>
      </c>
      <c r="C3" s="40" t="s">
        <v>21</v>
      </c>
      <c r="D3" s="40" t="s">
        <v>22</v>
      </c>
      <c r="E3" s="40" t="s">
        <v>23</v>
      </c>
      <c r="F3" s="41" t="s">
        <v>24</v>
      </c>
      <c r="G3" s="41" t="s">
        <v>22</v>
      </c>
      <c r="H3" s="41" t="s">
        <v>23</v>
      </c>
      <c r="I3" s="41" t="s">
        <v>24</v>
      </c>
      <c r="J3" s="41" t="s">
        <v>22</v>
      </c>
      <c r="K3" s="41" t="s">
        <v>23</v>
      </c>
      <c r="L3" s="41" t="s">
        <v>24</v>
      </c>
      <c r="M3" s="45" t="s">
        <v>66</v>
      </c>
      <c r="N3" s="45" t="s">
        <v>123</v>
      </c>
      <c r="O3" s="45" t="s">
        <v>124</v>
      </c>
      <c r="P3" s="45" t="s">
        <v>77</v>
      </c>
      <c r="Q3" s="40" t="s">
        <v>25</v>
      </c>
      <c r="R3" s="40" t="s">
        <v>26</v>
      </c>
      <c r="S3" s="40" t="s">
        <v>27</v>
      </c>
      <c r="T3" s="40" t="s">
        <v>28</v>
      </c>
      <c r="U3" s="42" t="s">
        <v>29</v>
      </c>
      <c r="V3" s="42" t="s">
        <v>169</v>
      </c>
      <c r="W3" s="42" t="s">
        <v>170</v>
      </c>
      <c r="X3" s="42" t="s">
        <v>30</v>
      </c>
      <c r="Y3" s="42" t="s">
        <v>31</v>
      </c>
      <c r="Z3" s="42" t="s">
        <v>32</v>
      </c>
    </row>
    <row r="4" spans="1:26">
      <c r="A4" s="1">
        <v>45505</v>
      </c>
      <c r="B4" s="2" t="s">
        <v>193</v>
      </c>
      <c r="C4" s="3">
        <v>1696</v>
      </c>
      <c r="D4" s="4">
        <v>741</v>
      </c>
      <c r="E4" s="5">
        <v>300</v>
      </c>
      <c r="F4" s="4">
        <v>1041</v>
      </c>
      <c r="G4" s="4">
        <v>648</v>
      </c>
      <c r="H4" s="6">
        <v>222</v>
      </c>
      <c r="I4" s="4">
        <v>870</v>
      </c>
      <c r="J4" s="4">
        <v>971</v>
      </c>
      <c r="K4" s="6">
        <v>289</v>
      </c>
      <c r="L4" s="4">
        <v>1260</v>
      </c>
      <c r="M4" s="4">
        <v>322805</v>
      </c>
      <c r="N4" s="4">
        <v>11</v>
      </c>
      <c r="O4" s="4">
        <v>18</v>
      </c>
      <c r="P4" s="4">
        <v>326236</v>
      </c>
      <c r="Q4" s="3"/>
      <c r="R4" s="3"/>
      <c r="S4" s="4">
        <v>22139</v>
      </c>
      <c r="T4" s="4"/>
      <c r="U4" s="4">
        <v>24499</v>
      </c>
      <c r="V4" s="4">
        <v>24</v>
      </c>
      <c r="W4" s="4">
        <v>15</v>
      </c>
      <c r="X4" s="3">
        <v>16764</v>
      </c>
      <c r="Y4" s="3">
        <v>27338</v>
      </c>
      <c r="Z4" s="4">
        <v>191598</v>
      </c>
    </row>
    <row r="5" spans="1:26">
      <c r="A5" s="1">
        <v>45506</v>
      </c>
      <c r="B5" s="2" t="s">
        <v>194</v>
      </c>
      <c r="C5" s="3">
        <v>1431</v>
      </c>
      <c r="D5" s="4">
        <v>651</v>
      </c>
      <c r="E5" s="5">
        <v>302</v>
      </c>
      <c r="F5" s="4">
        <v>953</v>
      </c>
      <c r="G5" s="4">
        <v>499</v>
      </c>
      <c r="H5" s="6">
        <v>278</v>
      </c>
      <c r="I5" s="4">
        <v>777</v>
      </c>
      <c r="J5" s="4">
        <v>1035</v>
      </c>
      <c r="K5" s="6">
        <v>391</v>
      </c>
      <c r="L5" s="4">
        <v>1426</v>
      </c>
      <c r="M5" s="4">
        <v>322772</v>
      </c>
      <c r="N5" s="4">
        <v>17</v>
      </c>
      <c r="O5" s="4">
        <v>17</v>
      </c>
      <c r="P5" s="4">
        <v>326211</v>
      </c>
      <c r="Q5" s="3"/>
      <c r="R5" s="3"/>
      <c r="S5" s="4">
        <v>20407</v>
      </c>
      <c r="T5" s="4"/>
      <c r="U5" s="4">
        <v>24523</v>
      </c>
      <c r="V5" s="4">
        <v>37</v>
      </c>
      <c r="W5" s="4">
        <v>11</v>
      </c>
      <c r="X5" s="3">
        <v>22272</v>
      </c>
      <c r="Y5" s="3">
        <v>37157</v>
      </c>
      <c r="Z5" s="4">
        <v>191548</v>
      </c>
    </row>
    <row r="6" spans="1:26">
      <c r="A6" s="7">
        <v>45507</v>
      </c>
      <c r="B6" s="2" t="s">
        <v>195</v>
      </c>
      <c r="C6" s="3">
        <v>609</v>
      </c>
      <c r="D6" s="4">
        <v>244</v>
      </c>
      <c r="E6" s="5">
        <v>233</v>
      </c>
      <c r="F6" s="4">
        <v>477</v>
      </c>
      <c r="G6" s="4">
        <v>231</v>
      </c>
      <c r="H6" s="6">
        <v>200</v>
      </c>
      <c r="I6" s="4">
        <v>431</v>
      </c>
      <c r="J6" s="4">
        <v>294</v>
      </c>
      <c r="K6" s="6">
        <v>311</v>
      </c>
      <c r="L6" s="4">
        <v>605</v>
      </c>
      <c r="M6" s="4">
        <v>322772</v>
      </c>
      <c r="N6" s="4">
        <v>13</v>
      </c>
      <c r="O6" s="4">
        <v>22</v>
      </c>
      <c r="P6" s="4">
        <v>326211</v>
      </c>
      <c r="Q6" s="3"/>
      <c r="R6" s="3"/>
      <c r="S6" s="4">
        <v>17723</v>
      </c>
      <c r="T6" s="4"/>
      <c r="U6" s="4">
        <v>24523</v>
      </c>
      <c r="V6" s="4">
        <v>19</v>
      </c>
      <c r="W6" s="4">
        <v>14</v>
      </c>
      <c r="X6" s="3">
        <v>21802</v>
      </c>
      <c r="Y6" s="3">
        <v>37058</v>
      </c>
      <c r="Z6" s="4">
        <v>191502</v>
      </c>
    </row>
    <row r="7" spans="1:26">
      <c r="A7" s="7">
        <v>45508</v>
      </c>
      <c r="B7" s="2" t="s">
        <v>196</v>
      </c>
      <c r="C7" s="3">
        <v>784</v>
      </c>
      <c r="D7" s="4">
        <v>239</v>
      </c>
      <c r="E7" s="5">
        <v>211</v>
      </c>
      <c r="F7" s="4">
        <v>450</v>
      </c>
      <c r="G7" s="4">
        <v>210</v>
      </c>
      <c r="H7" s="6">
        <v>168</v>
      </c>
      <c r="I7" s="4">
        <v>378</v>
      </c>
      <c r="J7" s="4">
        <v>241</v>
      </c>
      <c r="K7" s="6">
        <v>275</v>
      </c>
      <c r="L7" s="4">
        <v>516</v>
      </c>
      <c r="M7" s="4">
        <v>322772</v>
      </c>
      <c r="N7" s="4">
        <v>1</v>
      </c>
      <c r="O7" s="4">
        <v>13</v>
      </c>
      <c r="P7" s="4">
        <v>326211</v>
      </c>
      <c r="Q7" s="3"/>
      <c r="R7" s="3"/>
      <c r="S7" s="4">
        <v>12758</v>
      </c>
      <c r="T7" s="4"/>
      <c r="U7" s="4">
        <v>24523</v>
      </c>
      <c r="V7" s="4">
        <v>20</v>
      </c>
      <c r="W7" s="4">
        <v>10</v>
      </c>
      <c r="X7" s="3">
        <v>16015</v>
      </c>
      <c r="Y7" s="3">
        <v>24957</v>
      </c>
      <c r="Z7" s="4">
        <v>191459</v>
      </c>
    </row>
    <row r="8" spans="1:26">
      <c r="A8" s="7">
        <v>45509</v>
      </c>
      <c r="B8" s="2" t="s">
        <v>197</v>
      </c>
      <c r="C8" s="3">
        <v>1679</v>
      </c>
      <c r="D8" s="4">
        <v>667</v>
      </c>
      <c r="E8" s="6">
        <v>332</v>
      </c>
      <c r="F8" s="4">
        <v>999</v>
      </c>
      <c r="G8" s="4">
        <v>463</v>
      </c>
      <c r="H8" s="6">
        <v>282</v>
      </c>
      <c r="I8" s="4">
        <v>745</v>
      </c>
      <c r="J8" s="4">
        <v>1122</v>
      </c>
      <c r="K8" s="6">
        <v>365</v>
      </c>
      <c r="L8" s="4">
        <v>1487</v>
      </c>
      <c r="M8" s="4">
        <v>322756</v>
      </c>
      <c r="N8" s="4">
        <v>16</v>
      </c>
      <c r="O8" s="4">
        <v>15</v>
      </c>
      <c r="P8" s="4">
        <v>326203</v>
      </c>
      <c r="Q8" s="3"/>
      <c r="R8" s="3"/>
      <c r="S8" s="4">
        <v>9557</v>
      </c>
      <c r="T8" s="4"/>
      <c r="U8" s="4">
        <v>24527</v>
      </c>
      <c r="V8" s="4">
        <v>12</v>
      </c>
      <c r="W8" s="4">
        <v>15</v>
      </c>
      <c r="X8" s="3">
        <v>14063</v>
      </c>
      <c r="Y8" s="3">
        <v>21775</v>
      </c>
      <c r="Z8" s="4">
        <v>191386</v>
      </c>
    </row>
    <row r="9" spans="1:26">
      <c r="A9" s="7">
        <v>45510</v>
      </c>
      <c r="B9" s="2" t="s">
        <v>198</v>
      </c>
      <c r="C9" s="3">
        <v>2036</v>
      </c>
      <c r="D9" s="4">
        <v>741</v>
      </c>
      <c r="E9" s="6">
        <v>342</v>
      </c>
      <c r="F9" s="4">
        <v>1083</v>
      </c>
      <c r="G9" s="4">
        <v>499</v>
      </c>
      <c r="H9" s="6">
        <v>285</v>
      </c>
      <c r="I9" s="4">
        <v>784</v>
      </c>
      <c r="J9" s="4">
        <v>1295</v>
      </c>
      <c r="K9" s="6">
        <v>446</v>
      </c>
      <c r="L9" s="4">
        <v>1741</v>
      </c>
      <c r="M9" s="4">
        <v>322753</v>
      </c>
      <c r="N9" s="4">
        <v>12</v>
      </c>
      <c r="O9" s="4">
        <v>14</v>
      </c>
      <c r="P9" s="4">
        <v>326193</v>
      </c>
      <c r="Q9" s="3"/>
      <c r="R9" s="3"/>
      <c r="S9" s="4">
        <v>9433</v>
      </c>
      <c r="T9" s="4"/>
      <c r="U9" s="4">
        <v>24515</v>
      </c>
      <c r="V9" s="4">
        <v>3</v>
      </c>
      <c r="W9" s="4">
        <v>15</v>
      </c>
      <c r="X9" s="3">
        <v>10040</v>
      </c>
      <c r="Y9" s="3">
        <v>14965</v>
      </c>
      <c r="Z9" s="4">
        <v>191332</v>
      </c>
    </row>
    <row r="10" spans="1:26">
      <c r="A10" s="7">
        <v>45511</v>
      </c>
      <c r="B10" s="2" t="s">
        <v>199</v>
      </c>
      <c r="C10" s="3">
        <v>1937</v>
      </c>
      <c r="D10" s="4">
        <v>769</v>
      </c>
      <c r="E10" s="6">
        <v>340</v>
      </c>
      <c r="F10" s="4">
        <v>1109</v>
      </c>
      <c r="G10" s="4">
        <v>512</v>
      </c>
      <c r="H10" s="6">
        <v>259</v>
      </c>
      <c r="I10" s="4">
        <v>771</v>
      </c>
      <c r="J10" s="4">
        <v>1212</v>
      </c>
      <c r="K10" s="6">
        <v>387</v>
      </c>
      <c r="L10" s="4">
        <v>1599</v>
      </c>
      <c r="M10" s="4">
        <v>322736</v>
      </c>
      <c r="N10" s="4">
        <v>11</v>
      </c>
      <c r="O10" s="4">
        <v>18</v>
      </c>
      <c r="P10" s="4">
        <v>326193</v>
      </c>
      <c r="Q10" s="3"/>
      <c r="R10" s="3"/>
      <c r="S10" s="4">
        <v>18388</v>
      </c>
      <c r="T10" s="4"/>
      <c r="U10" s="4">
        <v>24517</v>
      </c>
      <c r="V10" s="4">
        <v>8</v>
      </c>
      <c r="W10" s="4">
        <v>10</v>
      </c>
      <c r="X10" s="3">
        <v>7805</v>
      </c>
      <c r="Y10" s="3">
        <v>11149</v>
      </c>
      <c r="Z10" s="4">
        <v>191286</v>
      </c>
    </row>
    <row r="11" spans="1:26">
      <c r="A11" s="1">
        <v>45512</v>
      </c>
      <c r="B11" s="2" t="s">
        <v>193</v>
      </c>
      <c r="C11" s="3">
        <v>1747</v>
      </c>
      <c r="D11" s="4">
        <v>681</v>
      </c>
      <c r="E11" s="6">
        <v>306</v>
      </c>
      <c r="F11" s="4">
        <v>987</v>
      </c>
      <c r="G11" s="4">
        <v>446</v>
      </c>
      <c r="H11" s="6">
        <v>236</v>
      </c>
      <c r="I11" s="4">
        <v>682</v>
      </c>
      <c r="J11" s="4">
        <v>1074</v>
      </c>
      <c r="K11" s="6">
        <v>343</v>
      </c>
      <c r="L11" s="4">
        <v>1417</v>
      </c>
      <c r="M11" s="4">
        <v>322737</v>
      </c>
      <c r="N11" s="4">
        <v>13</v>
      </c>
      <c r="O11" s="4">
        <v>4</v>
      </c>
      <c r="P11" s="4">
        <v>326201</v>
      </c>
      <c r="Q11" s="3"/>
      <c r="R11" s="3"/>
      <c r="S11" s="4">
        <v>20741</v>
      </c>
      <c r="T11" s="4"/>
      <c r="U11" s="4">
        <v>24511</v>
      </c>
      <c r="V11" s="4">
        <v>3</v>
      </c>
      <c r="W11" s="4">
        <v>15</v>
      </c>
      <c r="X11" s="3">
        <v>9881</v>
      </c>
      <c r="Y11" s="3">
        <v>13994</v>
      </c>
      <c r="Z11" s="4">
        <v>191241</v>
      </c>
    </row>
    <row r="12" spans="1:26">
      <c r="A12" s="1">
        <v>45513</v>
      </c>
      <c r="B12" s="2" t="s">
        <v>194</v>
      </c>
      <c r="C12" s="3">
        <v>1523</v>
      </c>
      <c r="D12" s="4">
        <v>586</v>
      </c>
      <c r="E12" s="6">
        <v>361</v>
      </c>
      <c r="F12" s="4">
        <v>947</v>
      </c>
      <c r="G12" s="4">
        <v>504</v>
      </c>
      <c r="H12" s="6">
        <v>332</v>
      </c>
      <c r="I12" s="4">
        <v>836</v>
      </c>
      <c r="J12" s="4">
        <v>1054</v>
      </c>
      <c r="K12" s="6">
        <v>485</v>
      </c>
      <c r="L12" s="4">
        <v>1539</v>
      </c>
      <c r="M12" s="4">
        <v>322750</v>
      </c>
      <c r="N12" s="4">
        <v>17</v>
      </c>
      <c r="O12" s="4">
        <v>9</v>
      </c>
      <c r="P12" s="4">
        <v>326216</v>
      </c>
      <c r="Q12" s="3"/>
      <c r="R12" s="3"/>
      <c r="S12" s="4">
        <v>25239</v>
      </c>
      <c r="T12" s="4"/>
      <c r="U12" s="4">
        <v>24501</v>
      </c>
      <c r="V12" s="4">
        <v>8</v>
      </c>
      <c r="W12" s="4">
        <v>15</v>
      </c>
      <c r="X12" s="3">
        <v>9251</v>
      </c>
      <c r="Y12" s="3">
        <v>12343</v>
      </c>
      <c r="Z12" s="4">
        <v>191203</v>
      </c>
    </row>
    <row r="13" spans="1:26">
      <c r="A13" s="7">
        <v>45514</v>
      </c>
      <c r="B13" s="2" t="s">
        <v>195</v>
      </c>
      <c r="C13" s="3">
        <v>827</v>
      </c>
      <c r="D13" s="4">
        <v>380</v>
      </c>
      <c r="E13" s="6">
        <v>252</v>
      </c>
      <c r="F13" s="4">
        <v>632</v>
      </c>
      <c r="G13" s="4">
        <v>349</v>
      </c>
      <c r="H13" s="6">
        <v>216</v>
      </c>
      <c r="I13" s="4">
        <v>565</v>
      </c>
      <c r="J13" s="4">
        <v>488</v>
      </c>
      <c r="K13" s="6">
        <v>351</v>
      </c>
      <c r="L13" s="4">
        <v>839</v>
      </c>
      <c r="M13" s="4">
        <v>322750</v>
      </c>
      <c r="N13" s="4">
        <v>21</v>
      </c>
      <c r="O13" s="4">
        <v>6</v>
      </c>
      <c r="P13" s="4">
        <v>326216</v>
      </c>
      <c r="Q13" s="3"/>
      <c r="R13" s="3"/>
      <c r="S13" s="4">
        <v>21460</v>
      </c>
      <c r="T13" s="4"/>
      <c r="U13" s="4">
        <v>24501</v>
      </c>
      <c r="V13" s="4">
        <v>4</v>
      </c>
      <c r="W13" s="4">
        <v>6</v>
      </c>
      <c r="X13" s="3">
        <v>7138</v>
      </c>
      <c r="Y13" s="3">
        <v>9629</v>
      </c>
      <c r="Z13" s="4">
        <v>191147</v>
      </c>
    </row>
    <row r="14" spans="1:26">
      <c r="A14" s="7">
        <v>45515</v>
      </c>
      <c r="B14" s="2" t="s">
        <v>196</v>
      </c>
      <c r="C14" s="3">
        <v>931</v>
      </c>
      <c r="D14" s="4">
        <v>420</v>
      </c>
      <c r="E14" s="6">
        <v>264</v>
      </c>
      <c r="F14" s="4">
        <v>684</v>
      </c>
      <c r="G14" s="4">
        <v>353</v>
      </c>
      <c r="H14" s="6">
        <v>206</v>
      </c>
      <c r="I14" s="4">
        <v>559</v>
      </c>
      <c r="J14" s="4">
        <v>448</v>
      </c>
      <c r="K14" s="6">
        <v>366</v>
      </c>
      <c r="L14" s="4">
        <v>814</v>
      </c>
      <c r="M14" s="4">
        <v>322750</v>
      </c>
      <c r="N14" s="4">
        <v>2</v>
      </c>
      <c r="O14" s="4">
        <v>6</v>
      </c>
      <c r="P14" s="4">
        <v>326216</v>
      </c>
      <c r="Q14" s="3"/>
      <c r="R14" s="3"/>
      <c r="S14" s="4">
        <v>14735</v>
      </c>
      <c r="T14" s="4"/>
      <c r="U14" s="4">
        <v>24501</v>
      </c>
      <c r="V14" s="4">
        <v>4</v>
      </c>
      <c r="W14" s="4">
        <v>7</v>
      </c>
      <c r="X14" s="3">
        <v>5597</v>
      </c>
      <c r="Y14" s="3">
        <v>6931</v>
      </c>
      <c r="Z14" s="4">
        <v>191111</v>
      </c>
    </row>
    <row r="15" spans="1:26">
      <c r="A15" s="7">
        <v>45516</v>
      </c>
      <c r="B15" s="2" t="s">
        <v>197</v>
      </c>
      <c r="C15" s="3">
        <v>1862</v>
      </c>
      <c r="D15" s="4">
        <v>744</v>
      </c>
      <c r="E15" s="6">
        <v>428</v>
      </c>
      <c r="F15" s="4">
        <v>1172</v>
      </c>
      <c r="G15" s="4">
        <v>542</v>
      </c>
      <c r="H15" s="6">
        <v>364</v>
      </c>
      <c r="I15" s="4">
        <v>906</v>
      </c>
      <c r="J15" s="4">
        <v>1210</v>
      </c>
      <c r="K15" s="6">
        <v>470</v>
      </c>
      <c r="L15" s="4">
        <v>1680</v>
      </c>
      <c r="M15" s="4">
        <v>322734</v>
      </c>
      <c r="N15" s="4">
        <v>3</v>
      </c>
      <c r="O15" s="4">
        <v>16</v>
      </c>
      <c r="P15" s="4">
        <v>326203</v>
      </c>
      <c r="Q15" s="3"/>
      <c r="R15" s="3"/>
      <c r="S15" s="4">
        <v>11132</v>
      </c>
      <c r="T15" s="4"/>
      <c r="U15" s="4">
        <v>24496</v>
      </c>
      <c r="V15" s="4">
        <v>4</v>
      </c>
      <c r="W15" s="4">
        <v>9</v>
      </c>
      <c r="X15" s="3">
        <v>3397</v>
      </c>
      <c r="Y15" s="3">
        <v>4151</v>
      </c>
      <c r="Z15" s="4">
        <v>191072</v>
      </c>
    </row>
    <row r="16" spans="1:26">
      <c r="A16" s="7">
        <v>45517</v>
      </c>
      <c r="B16" s="2" t="s">
        <v>198</v>
      </c>
      <c r="C16" s="3">
        <v>1875</v>
      </c>
      <c r="D16" s="4">
        <v>710</v>
      </c>
      <c r="E16" s="6">
        <v>338</v>
      </c>
      <c r="F16" s="4">
        <v>1048</v>
      </c>
      <c r="G16" s="4">
        <v>436</v>
      </c>
      <c r="H16" s="6">
        <v>273</v>
      </c>
      <c r="I16" s="4">
        <v>709</v>
      </c>
      <c r="J16" s="4">
        <v>1174</v>
      </c>
      <c r="K16" s="6">
        <v>362</v>
      </c>
      <c r="L16" s="4">
        <v>1536</v>
      </c>
      <c r="M16" s="4">
        <v>322729</v>
      </c>
      <c r="N16" s="4">
        <v>7</v>
      </c>
      <c r="O16" s="4">
        <v>5</v>
      </c>
      <c r="P16" s="4">
        <v>326199</v>
      </c>
      <c r="Q16" s="3"/>
      <c r="R16" s="3"/>
      <c r="S16" s="4">
        <v>6273</v>
      </c>
      <c r="T16" s="4"/>
      <c r="U16" s="4">
        <v>24499</v>
      </c>
      <c r="V16" s="4">
        <v>16</v>
      </c>
      <c r="W16" s="4">
        <v>19</v>
      </c>
      <c r="X16" s="3">
        <v>5226</v>
      </c>
      <c r="Y16" s="3">
        <v>7729</v>
      </c>
      <c r="Z16" s="4">
        <v>191031</v>
      </c>
    </row>
    <row r="17" spans="1:26">
      <c r="A17" s="7">
        <v>45518</v>
      </c>
      <c r="B17" s="2" t="s">
        <v>199</v>
      </c>
      <c r="C17" s="3">
        <v>1698</v>
      </c>
      <c r="D17" s="4">
        <v>693</v>
      </c>
      <c r="E17" s="6">
        <v>342</v>
      </c>
      <c r="F17" s="4">
        <v>1035</v>
      </c>
      <c r="G17" s="4">
        <v>543</v>
      </c>
      <c r="H17" s="6">
        <v>315</v>
      </c>
      <c r="I17" s="4">
        <v>858</v>
      </c>
      <c r="J17" s="4">
        <v>1222</v>
      </c>
      <c r="K17" s="6">
        <v>450</v>
      </c>
      <c r="L17" s="4">
        <v>1672</v>
      </c>
      <c r="M17" s="8">
        <v>322655</v>
      </c>
      <c r="N17" s="8">
        <v>7</v>
      </c>
      <c r="O17" s="8">
        <v>18</v>
      </c>
      <c r="P17" s="8">
        <v>326130</v>
      </c>
      <c r="Q17" s="3"/>
      <c r="R17" s="3"/>
      <c r="S17" s="4">
        <v>11357</v>
      </c>
      <c r="T17" s="4"/>
      <c r="U17" s="4">
        <v>24493</v>
      </c>
      <c r="V17" s="4">
        <v>13</v>
      </c>
      <c r="W17" s="4">
        <v>14</v>
      </c>
      <c r="X17" s="3">
        <v>8634</v>
      </c>
      <c r="Y17" s="3">
        <v>14139</v>
      </c>
      <c r="Z17" s="4">
        <v>190917</v>
      </c>
    </row>
    <row r="18" spans="1:26">
      <c r="A18" s="1">
        <v>45519</v>
      </c>
      <c r="B18" s="2" t="s">
        <v>193</v>
      </c>
      <c r="C18" s="3">
        <v>734</v>
      </c>
      <c r="D18" s="4">
        <v>254</v>
      </c>
      <c r="E18" s="6">
        <v>232</v>
      </c>
      <c r="F18" s="4">
        <v>486</v>
      </c>
      <c r="G18" s="4">
        <v>184</v>
      </c>
      <c r="H18" s="6">
        <v>185</v>
      </c>
      <c r="I18" s="4">
        <v>369</v>
      </c>
      <c r="J18" s="4">
        <v>330</v>
      </c>
      <c r="K18" s="6">
        <v>249</v>
      </c>
      <c r="L18" s="4">
        <v>579</v>
      </c>
      <c r="M18" s="8">
        <v>322655</v>
      </c>
      <c r="N18" s="8">
        <v>9</v>
      </c>
      <c r="O18" s="8">
        <v>37</v>
      </c>
      <c r="P18" s="8">
        <v>326130</v>
      </c>
      <c r="Q18" s="3"/>
      <c r="R18" s="3"/>
      <c r="S18" s="4">
        <v>13906</v>
      </c>
      <c r="T18" s="4"/>
      <c r="U18" s="4">
        <v>24493</v>
      </c>
      <c r="V18" s="4">
        <v>11</v>
      </c>
      <c r="W18" s="4">
        <v>9</v>
      </c>
      <c r="X18" s="3">
        <v>21491</v>
      </c>
      <c r="Y18" s="3">
        <v>29157</v>
      </c>
      <c r="Z18" s="4">
        <v>190917</v>
      </c>
    </row>
    <row r="19" spans="1:26">
      <c r="A19" s="1">
        <v>45520</v>
      </c>
      <c r="B19" s="2" t="s">
        <v>194</v>
      </c>
      <c r="C19" s="3">
        <v>1378</v>
      </c>
      <c r="D19" s="4">
        <v>584</v>
      </c>
      <c r="E19" s="6">
        <v>278</v>
      </c>
      <c r="F19" s="4">
        <v>862</v>
      </c>
      <c r="G19" s="4">
        <v>452</v>
      </c>
      <c r="H19" s="6">
        <v>260</v>
      </c>
      <c r="I19" s="4">
        <v>712</v>
      </c>
      <c r="J19" s="4">
        <v>1016</v>
      </c>
      <c r="K19" s="6">
        <v>344</v>
      </c>
      <c r="L19" s="4">
        <v>1360</v>
      </c>
      <c r="M19" s="8">
        <v>322599</v>
      </c>
      <c r="N19" s="8">
        <v>4</v>
      </c>
      <c r="O19" s="8">
        <v>13</v>
      </c>
      <c r="P19" s="8">
        <v>326070</v>
      </c>
      <c r="Q19" s="3"/>
      <c r="R19" s="3"/>
      <c r="S19" s="4">
        <v>8830</v>
      </c>
      <c r="T19" s="4"/>
      <c r="U19" s="4">
        <v>24480</v>
      </c>
      <c r="V19" s="4">
        <v>15</v>
      </c>
      <c r="W19" s="4">
        <v>11</v>
      </c>
      <c r="X19" s="3">
        <v>21284</v>
      </c>
      <c r="Y19" s="3">
        <v>28546</v>
      </c>
      <c r="Z19" s="4">
        <v>190890</v>
      </c>
    </row>
    <row r="20" spans="1:26">
      <c r="A20" s="9">
        <v>45521</v>
      </c>
      <c r="B20" s="2" t="s">
        <v>195</v>
      </c>
      <c r="C20" s="10">
        <v>660</v>
      </c>
      <c r="D20" s="11">
        <v>259</v>
      </c>
      <c r="E20" s="12">
        <v>254</v>
      </c>
      <c r="F20" s="11">
        <v>513</v>
      </c>
      <c r="G20" s="11">
        <v>245</v>
      </c>
      <c r="H20" s="12">
        <v>220</v>
      </c>
      <c r="I20" s="11">
        <v>465</v>
      </c>
      <c r="J20" s="11">
        <v>316</v>
      </c>
      <c r="K20" s="12">
        <v>351</v>
      </c>
      <c r="L20" s="11">
        <v>667</v>
      </c>
      <c r="M20" s="13">
        <v>322599</v>
      </c>
      <c r="N20" s="13">
        <v>5</v>
      </c>
      <c r="O20" s="13">
        <v>19</v>
      </c>
      <c r="P20" s="13">
        <v>326070</v>
      </c>
      <c r="Q20" s="10"/>
      <c r="R20" s="10"/>
      <c r="S20" s="11">
        <v>6066</v>
      </c>
      <c r="T20" s="11"/>
      <c r="U20" s="11">
        <v>24480</v>
      </c>
      <c r="V20" s="11">
        <v>5</v>
      </c>
      <c r="W20" s="11">
        <v>17</v>
      </c>
      <c r="X20" s="10">
        <v>5695</v>
      </c>
      <c r="Y20" s="10">
        <v>7819</v>
      </c>
      <c r="Z20" s="11">
        <v>190841</v>
      </c>
    </row>
    <row r="21" spans="1:26">
      <c r="A21" s="7">
        <v>45522</v>
      </c>
      <c r="B21" s="2" t="s">
        <v>196</v>
      </c>
      <c r="C21" s="3">
        <v>765</v>
      </c>
      <c r="D21" s="4">
        <v>282</v>
      </c>
      <c r="E21" s="6">
        <v>235</v>
      </c>
      <c r="F21" s="4">
        <v>517</v>
      </c>
      <c r="G21" s="4">
        <v>213</v>
      </c>
      <c r="H21" s="6">
        <v>198</v>
      </c>
      <c r="I21" s="4">
        <v>411</v>
      </c>
      <c r="J21" s="4">
        <v>381</v>
      </c>
      <c r="K21" s="6">
        <v>268</v>
      </c>
      <c r="L21" s="4">
        <v>649</v>
      </c>
      <c r="M21" s="8">
        <v>322599</v>
      </c>
      <c r="N21" s="8">
        <v>5</v>
      </c>
      <c r="O21" s="8">
        <v>14</v>
      </c>
      <c r="P21" s="8">
        <v>326070</v>
      </c>
      <c r="Q21" s="3"/>
      <c r="R21" s="3"/>
      <c r="S21" s="4">
        <v>1593</v>
      </c>
      <c r="T21" s="4"/>
      <c r="U21" s="4">
        <v>24480</v>
      </c>
      <c r="V21" s="4">
        <v>8</v>
      </c>
      <c r="W21" s="4">
        <v>12</v>
      </c>
      <c r="X21" s="3">
        <v>1711</v>
      </c>
      <c r="Y21" s="3">
        <v>1964</v>
      </c>
      <c r="Z21" s="4">
        <v>190811</v>
      </c>
    </row>
    <row r="22" spans="1:26">
      <c r="A22" s="9">
        <v>45523</v>
      </c>
      <c r="B22" s="14" t="s">
        <v>197</v>
      </c>
      <c r="C22" s="10">
        <v>1894</v>
      </c>
      <c r="D22" s="11">
        <v>742</v>
      </c>
      <c r="E22" s="12">
        <v>283</v>
      </c>
      <c r="F22" s="11">
        <v>1025</v>
      </c>
      <c r="G22" s="11">
        <v>532</v>
      </c>
      <c r="H22" s="12">
        <v>244</v>
      </c>
      <c r="I22" s="11">
        <v>776</v>
      </c>
      <c r="J22" s="11">
        <v>1330</v>
      </c>
      <c r="K22" s="12">
        <v>396</v>
      </c>
      <c r="L22" s="11">
        <v>1726</v>
      </c>
      <c r="M22" s="13">
        <v>322580</v>
      </c>
      <c r="N22" s="13">
        <v>11</v>
      </c>
      <c r="O22" s="13">
        <v>15</v>
      </c>
      <c r="P22" s="13">
        <v>326048</v>
      </c>
      <c r="Q22" s="10"/>
      <c r="R22" s="10"/>
      <c r="S22" s="11">
        <v>4487</v>
      </c>
      <c r="T22" s="11"/>
      <c r="U22" s="11">
        <v>24467</v>
      </c>
      <c r="V22" s="11">
        <v>6</v>
      </c>
      <c r="W22" s="11">
        <v>20</v>
      </c>
      <c r="X22" s="10">
        <v>3630</v>
      </c>
      <c r="Y22" s="10">
        <v>4382</v>
      </c>
      <c r="Z22" s="11">
        <v>190765</v>
      </c>
    </row>
    <row r="23" spans="1:26">
      <c r="A23" s="9">
        <v>45524</v>
      </c>
      <c r="B23" s="14" t="s">
        <v>198</v>
      </c>
      <c r="C23" s="10">
        <v>1718</v>
      </c>
      <c r="D23" s="11">
        <v>768</v>
      </c>
      <c r="E23" s="12">
        <v>258</v>
      </c>
      <c r="F23" s="11">
        <v>1026</v>
      </c>
      <c r="G23" s="11">
        <v>557</v>
      </c>
      <c r="H23" s="12">
        <v>216</v>
      </c>
      <c r="I23" s="11">
        <v>773</v>
      </c>
      <c r="J23" s="11">
        <v>1188</v>
      </c>
      <c r="K23" s="12">
        <v>311</v>
      </c>
      <c r="L23" s="11">
        <v>1499</v>
      </c>
      <c r="M23" s="13">
        <v>322573</v>
      </c>
      <c r="N23" s="13">
        <v>9</v>
      </c>
      <c r="O23" s="13">
        <v>7</v>
      </c>
      <c r="P23" s="13">
        <v>326040</v>
      </c>
      <c r="Q23" s="10"/>
      <c r="R23" s="10"/>
      <c r="S23" s="11">
        <v>9021</v>
      </c>
      <c r="T23" s="11"/>
      <c r="U23" s="11">
        <v>24460</v>
      </c>
      <c r="V23" s="11">
        <v>14</v>
      </c>
      <c r="W23" s="11">
        <v>18</v>
      </c>
      <c r="X23" s="10">
        <v>8452</v>
      </c>
      <c r="Y23" s="10">
        <v>12087</v>
      </c>
      <c r="Z23" s="11">
        <v>190719</v>
      </c>
    </row>
    <row r="24" spans="1:26">
      <c r="A24" s="9">
        <v>45525</v>
      </c>
      <c r="B24" s="14" t="s">
        <v>199</v>
      </c>
      <c r="C24" s="10">
        <v>1711</v>
      </c>
      <c r="D24" s="11">
        <v>764</v>
      </c>
      <c r="E24" s="12">
        <v>296</v>
      </c>
      <c r="F24" s="11">
        <v>1060</v>
      </c>
      <c r="G24" s="11">
        <v>522</v>
      </c>
      <c r="H24" s="12">
        <v>245</v>
      </c>
      <c r="I24" s="11">
        <v>767</v>
      </c>
      <c r="J24" s="11">
        <v>1129</v>
      </c>
      <c r="K24" s="12">
        <v>365</v>
      </c>
      <c r="L24" s="11">
        <v>1494</v>
      </c>
      <c r="M24" s="11">
        <v>322558</v>
      </c>
      <c r="N24" s="11">
        <v>7</v>
      </c>
      <c r="O24" s="11">
        <v>17</v>
      </c>
      <c r="P24" s="11">
        <v>326026</v>
      </c>
      <c r="Q24" s="12"/>
      <c r="R24" s="11"/>
      <c r="S24" s="11">
        <v>13118</v>
      </c>
      <c r="T24" s="12"/>
      <c r="U24" s="11">
        <v>24467</v>
      </c>
      <c r="V24" s="13">
        <v>9</v>
      </c>
      <c r="W24" s="13">
        <v>9</v>
      </c>
      <c r="X24" s="13">
        <v>14594</v>
      </c>
      <c r="Y24" s="10">
        <v>22350</v>
      </c>
      <c r="Z24" s="10">
        <v>190688</v>
      </c>
    </row>
    <row r="25" spans="1:26">
      <c r="A25" s="15">
        <v>45526</v>
      </c>
      <c r="B25" s="14" t="s">
        <v>193</v>
      </c>
      <c r="C25" s="10">
        <v>1983</v>
      </c>
      <c r="D25" s="11">
        <v>827</v>
      </c>
      <c r="E25" s="12">
        <v>395</v>
      </c>
      <c r="F25" s="11">
        <v>1222</v>
      </c>
      <c r="G25" s="11">
        <v>644</v>
      </c>
      <c r="H25" s="12">
        <v>358</v>
      </c>
      <c r="I25" s="11">
        <v>1002</v>
      </c>
      <c r="J25" s="11">
        <v>1461</v>
      </c>
      <c r="K25" s="12">
        <v>555</v>
      </c>
      <c r="L25" s="11">
        <v>2016</v>
      </c>
      <c r="M25" s="11">
        <v>322569</v>
      </c>
      <c r="N25" s="11">
        <v>35</v>
      </c>
      <c r="O25" s="11">
        <v>19</v>
      </c>
      <c r="P25" s="11">
        <v>326037</v>
      </c>
      <c r="Q25" s="12"/>
      <c r="R25" s="11"/>
      <c r="S25" s="11">
        <v>17175</v>
      </c>
      <c r="T25" s="12"/>
      <c r="U25" s="11">
        <v>24508</v>
      </c>
      <c r="V25" s="13">
        <v>54</v>
      </c>
      <c r="W25" s="13">
        <v>12</v>
      </c>
      <c r="X25" s="13">
        <v>29121</v>
      </c>
      <c r="Y25" s="10">
        <v>43461</v>
      </c>
      <c r="Z25" s="10">
        <v>190646</v>
      </c>
    </row>
    <row r="26" spans="1:26">
      <c r="A26" s="15">
        <v>45527</v>
      </c>
      <c r="B26" s="14" t="s">
        <v>194</v>
      </c>
      <c r="C26" s="10">
        <v>1737</v>
      </c>
      <c r="D26" s="11">
        <v>680</v>
      </c>
      <c r="E26" s="12">
        <v>385</v>
      </c>
      <c r="F26" s="11">
        <v>1065</v>
      </c>
      <c r="G26" s="11">
        <v>510</v>
      </c>
      <c r="H26" s="12">
        <v>344</v>
      </c>
      <c r="I26" s="11">
        <v>854</v>
      </c>
      <c r="J26" s="11">
        <v>1227</v>
      </c>
      <c r="K26" s="12">
        <v>512</v>
      </c>
      <c r="L26" s="11">
        <v>1739</v>
      </c>
      <c r="M26" s="11">
        <v>322489</v>
      </c>
      <c r="N26" s="11">
        <v>40</v>
      </c>
      <c r="O26" s="11">
        <v>20</v>
      </c>
      <c r="P26" s="11">
        <v>326028</v>
      </c>
      <c r="Q26" s="12"/>
      <c r="R26" s="11"/>
      <c r="S26" s="11">
        <v>20726</v>
      </c>
      <c r="T26" s="12"/>
      <c r="U26" s="11">
        <v>24646</v>
      </c>
      <c r="V26" s="13">
        <v>53</v>
      </c>
      <c r="W26" s="13">
        <v>8</v>
      </c>
      <c r="X26" s="13">
        <v>38824</v>
      </c>
      <c r="Y26" s="10">
        <v>58029</v>
      </c>
      <c r="Z26" s="10">
        <v>190606</v>
      </c>
    </row>
    <row r="27" spans="1:26">
      <c r="A27" s="9">
        <v>45528</v>
      </c>
      <c r="B27" s="14" t="s">
        <v>195</v>
      </c>
      <c r="C27" s="10">
        <v>713</v>
      </c>
      <c r="D27" s="11">
        <v>313</v>
      </c>
      <c r="E27" s="12">
        <v>253</v>
      </c>
      <c r="F27" s="11">
        <v>566</v>
      </c>
      <c r="G27" s="11">
        <v>282</v>
      </c>
      <c r="H27" s="12">
        <v>220</v>
      </c>
      <c r="I27" s="11">
        <v>502</v>
      </c>
      <c r="J27" s="11">
        <v>378</v>
      </c>
      <c r="K27" s="12">
        <v>237</v>
      </c>
      <c r="L27" s="11">
        <v>615</v>
      </c>
      <c r="M27" s="11">
        <v>322489</v>
      </c>
      <c r="N27" s="11">
        <v>45</v>
      </c>
      <c r="O27" s="11">
        <v>29</v>
      </c>
      <c r="P27" s="11">
        <v>326028</v>
      </c>
      <c r="Q27" s="12"/>
      <c r="R27" s="11"/>
      <c r="S27" s="11">
        <v>22663</v>
      </c>
      <c r="T27" s="12"/>
      <c r="U27" s="11">
        <v>24646</v>
      </c>
      <c r="V27" s="13">
        <v>70</v>
      </c>
      <c r="W27" s="13">
        <v>11</v>
      </c>
      <c r="X27" s="13">
        <v>34574</v>
      </c>
      <c r="Y27" s="10">
        <v>50699</v>
      </c>
      <c r="Z27" s="10">
        <v>190558</v>
      </c>
    </row>
    <row r="28" spans="1:26">
      <c r="A28" s="9">
        <v>45529</v>
      </c>
      <c r="B28" s="14" t="s">
        <v>196</v>
      </c>
      <c r="C28" s="10">
        <v>781</v>
      </c>
      <c r="D28" s="11">
        <v>304</v>
      </c>
      <c r="E28" s="12">
        <v>263</v>
      </c>
      <c r="F28" s="11">
        <v>567</v>
      </c>
      <c r="G28" s="11">
        <v>238</v>
      </c>
      <c r="H28" s="12">
        <v>209</v>
      </c>
      <c r="I28" s="11">
        <v>447</v>
      </c>
      <c r="J28" s="11">
        <v>410</v>
      </c>
      <c r="K28" s="12">
        <v>275</v>
      </c>
      <c r="L28" s="11">
        <v>685</v>
      </c>
      <c r="M28" s="11">
        <v>322489</v>
      </c>
      <c r="N28" s="11">
        <v>28</v>
      </c>
      <c r="O28" s="11">
        <v>32</v>
      </c>
      <c r="P28" s="11">
        <v>326028</v>
      </c>
      <c r="Q28" s="12"/>
      <c r="R28" s="11"/>
      <c r="S28" s="11">
        <v>17901</v>
      </c>
      <c r="T28" s="12"/>
      <c r="U28" s="11">
        <v>24646</v>
      </c>
      <c r="V28" s="13">
        <v>66</v>
      </c>
      <c r="W28" s="13">
        <v>14</v>
      </c>
      <c r="X28" s="13">
        <v>28524</v>
      </c>
      <c r="Y28" s="10">
        <v>41304</v>
      </c>
      <c r="Z28" s="10">
        <v>190536</v>
      </c>
    </row>
    <row r="29" spans="1:26">
      <c r="A29" s="9">
        <v>45530</v>
      </c>
      <c r="B29" s="14" t="s">
        <v>197</v>
      </c>
      <c r="C29" s="10">
        <v>1791</v>
      </c>
      <c r="D29" s="11">
        <v>796</v>
      </c>
      <c r="E29" s="12">
        <v>327</v>
      </c>
      <c r="F29" s="11">
        <v>1123</v>
      </c>
      <c r="G29" s="11">
        <v>580</v>
      </c>
      <c r="H29" s="12">
        <v>263</v>
      </c>
      <c r="I29" s="11">
        <v>843</v>
      </c>
      <c r="J29" s="11">
        <v>1206</v>
      </c>
      <c r="K29" s="12">
        <v>385</v>
      </c>
      <c r="L29" s="11">
        <v>1591</v>
      </c>
      <c r="M29" s="11">
        <v>322452</v>
      </c>
      <c r="N29" s="11">
        <v>37</v>
      </c>
      <c r="O29" s="11">
        <v>23</v>
      </c>
      <c r="P29" s="11">
        <v>326025</v>
      </c>
      <c r="Q29" s="12"/>
      <c r="R29" s="11"/>
      <c r="S29" s="11">
        <v>21721</v>
      </c>
      <c r="T29" s="12"/>
      <c r="U29" s="11">
        <v>24690</v>
      </c>
      <c r="V29" s="13">
        <v>37</v>
      </c>
      <c r="W29" s="13">
        <v>12</v>
      </c>
      <c r="X29" s="13">
        <v>18077</v>
      </c>
      <c r="Y29" s="10">
        <v>24711</v>
      </c>
      <c r="Z29" s="10">
        <v>190488</v>
      </c>
    </row>
    <row r="30" spans="1:26">
      <c r="A30" s="9">
        <v>45531</v>
      </c>
      <c r="B30" s="14" t="s">
        <v>198</v>
      </c>
      <c r="C30" s="10">
        <v>2044</v>
      </c>
      <c r="D30" s="11">
        <v>820</v>
      </c>
      <c r="E30" s="12">
        <v>331</v>
      </c>
      <c r="F30" s="11">
        <v>1151</v>
      </c>
      <c r="G30" s="11">
        <v>569</v>
      </c>
      <c r="H30" s="12">
        <v>261</v>
      </c>
      <c r="I30" s="11">
        <v>830</v>
      </c>
      <c r="J30" s="11">
        <v>1290</v>
      </c>
      <c r="K30" s="12">
        <v>412</v>
      </c>
      <c r="L30" s="11">
        <v>1702</v>
      </c>
      <c r="M30" s="11">
        <v>322534</v>
      </c>
      <c r="N30" s="11">
        <v>36</v>
      </c>
      <c r="O30" s="11">
        <v>17</v>
      </c>
      <c r="P30" s="11">
        <v>326059</v>
      </c>
      <c r="Q30" s="12"/>
      <c r="R30" s="11"/>
      <c r="S30" s="11">
        <v>17823</v>
      </c>
      <c r="T30" s="12"/>
      <c r="U30" s="11">
        <v>24717</v>
      </c>
      <c r="V30" s="13">
        <v>40</v>
      </c>
      <c r="W30" s="13">
        <v>12</v>
      </c>
      <c r="X30" s="13">
        <v>5997</v>
      </c>
      <c r="Y30" s="10">
        <v>9040</v>
      </c>
      <c r="Z30" s="10">
        <v>190456</v>
      </c>
    </row>
    <row r="31" spans="1:26">
      <c r="A31" s="16">
        <v>45532</v>
      </c>
      <c r="B31" s="17" t="s">
        <v>199</v>
      </c>
      <c r="C31" s="18">
        <v>2180</v>
      </c>
      <c r="D31" s="18">
        <v>744</v>
      </c>
      <c r="E31" s="19">
        <v>340</v>
      </c>
      <c r="F31" s="20">
        <v>1084</v>
      </c>
      <c r="G31" s="19">
        <v>491</v>
      </c>
      <c r="H31" s="20">
        <v>250</v>
      </c>
      <c r="I31" s="19">
        <v>741</v>
      </c>
      <c r="J31" s="19">
        <v>1395</v>
      </c>
      <c r="K31" s="20">
        <v>375</v>
      </c>
      <c r="L31" s="19">
        <v>1770</v>
      </c>
      <c r="M31" s="19">
        <v>322560</v>
      </c>
      <c r="N31" s="24">
        <v>29</v>
      </c>
      <c r="O31" s="24">
        <v>9</v>
      </c>
      <c r="P31" s="24">
        <v>326071</v>
      </c>
      <c r="Q31" s="21"/>
      <c r="R31" s="22"/>
      <c r="S31" s="22">
        <v>18945</v>
      </c>
      <c r="T31" s="23"/>
      <c r="U31" s="22">
        <v>24751</v>
      </c>
      <c r="V31" s="24">
        <v>44</v>
      </c>
      <c r="W31" s="24">
        <v>18</v>
      </c>
      <c r="X31" s="24">
        <v>8652</v>
      </c>
      <c r="Y31" s="25">
        <v>10871</v>
      </c>
      <c r="Z31" s="25">
        <v>190417</v>
      </c>
    </row>
    <row r="32" spans="1:26">
      <c r="A32" s="26">
        <v>45533</v>
      </c>
      <c r="B32" s="17" t="s">
        <v>193</v>
      </c>
      <c r="C32" s="18">
        <v>1818</v>
      </c>
      <c r="D32" s="19">
        <v>799</v>
      </c>
      <c r="E32" s="20">
        <v>288</v>
      </c>
      <c r="F32" s="19">
        <v>1087</v>
      </c>
      <c r="G32" s="19">
        <v>508</v>
      </c>
      <c r="H32" s="20">
        <v>205</v>
      </c>
      <c r="I32" s="19">
        <v>713</v>
      </c>
      <c r="J32" s="19">
        <v>1080</v>
      </c>
      <c r="K32" s="20">
        <v>299</v>
      </c>
      <c r="L32" s="19">
        <v>1379</v>
      </c>
      <c r="M32" s="19">
        <v>322566</v>
      </c>
      <c r="N32" s="24">
        <v>29</v>
      </c>
      <c r="O32" s="24">
        <v>17</v>
      </c>
      <c r="P32" s="24">
        <v>326074</v>
      </c>
      <c r="Q32" s="21"/>
      <c r="R32" s="22"/>
      <c r="S32" s="22">
        <v>2027</v>
      </c>
      <c r="T32" s="27"/>
      <c r="U32" s="22">
        <v>24781</v>
      </c>
      <c r="V32" s="24">
        <v>44</v>
      </c>
      <c r="W32" s="24">
        <v>7</v>
      </c>
      <c r="X32" s="24">
        <v>19044</v>
      </c>
      <c r="Y32" s="25">
        <v>24272</v>
      </c>
      <c r="Z32" s="25">
        <v>190375</v>
      </c>
    </row>
    <row r="33" spans="1:26">
      <c r="A33" s="26">
        <v>45534</v>
      </c>
      <c r="B33" s="17" t="s">
        <v>194</v>
      </c>
      <c r="C33" s="18">
        <v>1434</v>
      </c>
      <c r="D33" s="19">
        <v>672</v>
      </c>
      <c r="E33" s="20">
        <v>311</v>
      </c>
      <c r="F33" s="19">
        <v>983</v>
      </c>
      <c r="G33" s="19">
        <v>535</v>
      </c>
      <c r="H33" s="20">
        <v>281</v>
      </c>
      <c r="I33" s="19">
        <v>816</v>
      </c>
      <c r="J33" s="19">
        <v>1012</v>
      </c>
      <c r="K33" s="20">
        <v>427</v>
      </c>
      <c r="L33" s="19">
        <v>1439</v>
      </c>
      <c r="M33" s="19">
        <v>322563</v>
      </c>
      <c r="N33" s="24">
        <v>34</v>
      </c>
      <c r="O33" s="24">
        <v>12</v>
      </c>
      <c r="P33" s="24">
        <v>326072</v>
      </c>
      <c r="Q33" s="21"/>
      <c r="R33" s="22"/>
      <c r="S33" s="19">
        <v>20979</v>
      </c>
      <c r="T33" s="27"/>
      <c r="U33" s="19">
        <v>24781</v>
      </c>
      <c r="V33" s="19">
        <v>29</v>
      </c>
      <c r="W33" s="19">
        <v>9</v>
      </c>
      <c r="X33" s="19">
        <v>23853</v>
      </c>
      <c r="Y33" s="18">
        <v>31221</v>
      </c>
      <c r="Z33" s="18">
        <v>190314</v>
      </c>
    </row>
    <row r="34" spans="1:26">
      <c r="A34" s="30">
        <v>45535</v>
      </c>
      <c r="B34" s="31" t="s">
        <v>195</v>
      </c>
      <c r="C34" s="32">
        <v>658</v>
      </c>
      <c r="D34" s="33">
        <v>263</v>
      </c>
      <c r="E34" s="34">
        <v>270</v>
      </c>
      <c r="F34" s="33">
        <v>533</v>
      </c>
      <c r="G34" s="33">
        <v>251</v>
      </c>
      <c r="H34" s="34">
        <v>242</v>
      </c>
      <c r="I34" s="33">
        <v>493</v>
      </c>
      <c r="J34" s="33">
        <v>303</v>
      </c>
      <c r="K34" s="34">
        <v>348</v>
      </c>
      <c r="L34" s="33">
        <v>651</v>
      </c>
      <c r="M34" s="50">
        <v>322563</v>
      </c>
      <c r="N34" s="52">
        <v>16</v>
      </c>
      <c r="O34" s="52">
        <v>21</v>
      </c>
      <c r="P34" s="52">
        <v>326072</v>
      </c>
      <c r="Q34" s="35"/>
      <c r="R34" s="36"/>
      <c r="S34" s="33">
        <v>15189</v>
      </c>
      <c r="T34" s="37"/>
      <c r="U34" s="50">
        <v>24781</v>
      </c>
      <c r="V34" s="50">
        <v>3</v>
      </c>
      <c r="W34" s="50">
        <v>14</v>
      </c>
      <c r="X34" s="33">
        <v>22199</v>
      </c>
      <c r="Y34" s="32">
        <v>28005</v>
      </c>
      <c r="Z34" s="51">
        <v>190280</v>
      </c>
    </row>
    <row r="36" spans="1:26">
      <c r="M36" s="44"/>
      <c r="N36" s="44"/>
      <c r="O36" s="44"/>
      <c r="P36" s="44"/>
      <c r="Q36" s="44"/>
      <c r="R36" s="44"/>
    </row>
  </sheetData>
  <mergeCells count="10">
    <mergeCell ref="A1:B1"/>
    <mergeCell ref="C1:L1"/>
    <mergeCell ref="M1:T1"/>
    <mergeCell ref="U1:Y1"/>
    <mergeCell ref="A2:B2"/>
    <mergeCell ref="D2:F2"/>
    <mergeCell ref="G2:I2"/>
    <mergeCell ref="J2:L2"/>
    <mergeCell ref="M2:T2"/>
    <mergeCell ref="U2:Y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B27" sqref="B27"/>
    </sheetView>
  </sheetViews>
  <sheetFormatPr defaultColWidth="8.75" defaultRowHeight="15"/>
  <cols>
    <col min="1" max="1" width="11" style="105" bestFit="1" customWidth="1"/>
    <col min="2" max="2" width="9.5" style="105" bestFit="1" customWidth="1"/>
    <col min="3" max="3" width="8.875" style="105" bestFit="1" customWidth="1"/>
    <col min="4" max="4" width="9.5" style="105" bestFit="1" customWidth="1"/>
    <col min="5" max="6" width="8.75" style="105"/>
    <col min="7" max="7" width="9.875" style="105" bestFit="1" customWidth="1"/>
    <col min="8" max="8" width="8.75" style="105" customWidth="1"/>
    <col min="9" max="9" width="8.875" style="105" bestFit="1" customWidth="1"/>
    <col min="10" max="10" width="9" style="105" bestFit="1" customWidth="1"/>
    <col min="11" max="11" width="8.75" style="105"/>
    <col min="12" max="12" width="54.75" style="105" customWidth="1"/>
    <col min="13" max="14" width="8.75" style="105"/>
    <col min="15" max="15" width="8.875" style="105" bestFit="1" customWidth="1"/>
    <col min="16" max="16" width="13.25" style="105" customWidth="1"/>
    <col min="17" max="17" width="9.625" style="105" bestFit="1" customWidth="1"/>
    <col min="18" max="18" width="8.875" style="105" bestFit="1" customWidth="1"/>
    <col min="19" max="19" width="9.625" style="105" bestFit="1" customWidth="1"/>
    <col min="20" max="16384" width="8.75" style="105"/>
  </cols>
  <sheetData>
    <row r="1" spans="1:21">
      <c r="A1" s="141" t="s">
        <v>11</v>
      </c>
      <c r="B1" s="141" t="s">
        <v>12</v>
      </c>
      <c r="C1" s="141" t="s">
        <v>13</v>
      </c>
      <c r="D1" s="141" t="s">
        <v>14</v>
      </c>
    </row>
    <row r="2" spans="1:21">
      <c r="A2" s="142">
        <v>44774</v>
      </c>
      <c r="B2" s="107">
        <v>302081</v>
      </c>
      <c r="C2" s="107">
        <v>200</v>
      </c>
      <c r="D2" s="107">
        <v>112109</v>
      </c>
      <c r="U2" s="110" t="s">
        <v>117</v>
      </c>
    </row>
    <row r="3" spans="1:21">
      <c r="A3" s="142">
        <v>44805</v>
      </c>
      <c r="B3" s="107">
        <v>302399</v>
      </c>
      <c r="C3" s="107">
        <v>277</v>
      </c>
      <c r="D3" s="107">
        <v>113029</v>
      </c>
      <c r="P3" s="251" t="s">
        <v>65</v>
      </c>
      <c r="Q3" s="251"/>
      <c r="R3" s="251"/>
      <c r="S3" s="251"/>
      <c r="U3" s="114"/>
    </row>
    <row r="4" spans="1:21">
      <c r="A4" s="142">
        <v>44835</v>
      </c>
      <c r="B4" s="107">
        <v>302055</v>
      </c>
      <c r="C4" s="107">
        <v>350</v>
      </c>
      <c r="D4" s="107">
        <v>111757</v>
      </c>
      <c r="G4" s="143" t="s">
        <v>11</v>
      </c>
      <c r="H4" s="143" t="s">
        <v>12</v>
      </c>
      <c r="I4" s="143" t="s">
        <v>13</v>
      </c>
      <c r="J4" s="143" t="s">
        <v>14</v>
      </c>
      <c r="L4" s="143" t="s">
        <v>15</v>
      </c>
      <c r="P4" s="141" t="s">
        <v>11</v>
      </c>
      <c r="Q4" s="141" t="s">
        <v>12</v>
      </c>
      <c r="R4" s="141" t="s">
        <v>13</v>
      </c>
      <c r="S4" s="141" t="s">
        <v>14</v>
      </c>
      <c r="U4" s="114"/>
    </row>
    <row r="5" spans="1:21">
      <c r="A5" s="142">
        <v>44866</v>
      </c>
      <c r="B5" s="107">
        <v>302185</v>
      </c>
      <c r="C5" s="107">
        <v>389</v>
      </c>
      <c r="D5" s="107">
        <v>110552</v>
      </c>
      <c r="G5" s="144">
        <f>일일data!$A$4</f>
        <v>45505</v>
      </c>
      <c r="H5" s="145">
        <f>VLOOKUP(EOMONTH(일일data!$A$4,0),일일data!$A:$Z,13,FALSE)</f>
        <v>322563</v>
      </c>
      <c r="I5" s="145">
        <f>VLOOKUP(EOMONTH(일일data!$A$4,0),일일data!$A:$Z,21,FALSE)</f>
        <v>24781</v>
      </c>
      <c r="J5" s="145">
        <f>VLOOKUP(EOMONTH(일일data!$A$4,0),일일data!$A:$Z,26,FALSE)</f>
        <v>190280</v>
      </c>
      <c r="L5" s="146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105">
        <v>11</v>
      </c>
      <c r="P5" s="147" t="str">
        <f t="shared" ref="P5:P16" si="0">INDEX(A:A,COUNTA(A:A)-$O5)</f>
        <v>23년 09월</v>
      </c>
      <c r="Q5" s="148">
        <f t="shared" ref="Q5:Q16" si="1">INDEX(B:B,COUNTA(B:B)-$O5)</f>
        <v>327807</v>
      </c>
      <c r="R5" s="148">
        <f t="shared" ref="R5:R16" si="2">INDEX(C:C,COUNTA(C:C)-$O5)</f>
        <v>24351</v>
      </c>
      <c r="S5" s="148">
        <f t="shared" ref="S5:S16" si="3">INDEX(D:D,COUNTA(D:D)-$O5)</f>
        <v>209685</v>
      </c>
      <c r="U5" s="114"/>
    </row>
    <row r="6" spans="1:21">
      <c r="A6" s="142">
        <v>44896</v>
      </c>
      <c r="B6" s="107">
        <v>302872</v>
      </c>
      <c r="C6" s="107">
        <v>9097</v>
      </c>
      <c r="D6" s="107">
        <v>109424</v>
      </c>
      <c r="O6" s="105">
        <v>10</v>
      </c>
      <c r="P6" s="147" t="str">
        <f t="shared" si="0"/>
        <v>23년 10월</v>
      </c>
      <c r="Q6" s="148">
        <f t="shared" si="1"/>
        <v>327316</v>
      </c>
      <c r="R6" s="148">
        <f t="shared" si="2"/>
        <v>24169</v>
      </c>
      <c r="S6" s="148">
        <f t="shared" si="3"/>
        <v>206054</v>
      </c>
      <c r="U6" s="114"/>
    </row>
    <row r="7" spans="1:21">
      <c r="A7" s="142">
        <v>44927</v>
      </c>
      <c r="B7" s="107">
        <v>303610</v>
      </c>
      <c r="C7" s="107">
        <v>17086</v>
      </c>
      <c r="D7" s="107">
        <v>108358</v>
      </c>
      <c r="O7" s="105">
        <v>9</v>
      </c>
      <c r="P7" s="147">
        <f t="shared" si="0"/>
        <v>45231</v>
      </c>
      <c r="Q7" s="148">
        <f t="shared" si="1"/>
        <v>326663</v>
      </c>
      <c r="R7" s="148">
        <f t="shared" si="2"/>
        <v>24349</v>
      </c>
      <c r="S7" s="148">
        <f t="shared" si="3"/>
        <v>204222</v>
      </c>
      <c r="U7" s="114"/>
    </row>
    <row r="8" spans="1:21">
      <c r="A8" s="142">
        <v>44958</v>
      </c>
      <c r="B8" s="107">
        <v>303181</v>
      </c>
      <c r="C8" s="107">
        <v>24153</v>
      </c>
      <c r="D8" s="107">
        <v>107456</v>
      </c>
      <c r="O8" s="105">
        <v>8</v>
      </c>
      <c r="P8" s="147">
        <f t="shared" si="0"/>
        <v>45261</v>
      </c>
      <c r="Q8" s="148">
        <f t="shared" si="1"/>
        <v>325870</v>
      </c>
      <c r="R8" s="148">
        <f t="shared" si="2"/>
        <v>24077</v>
      </c>
      <c r="S8" s="148">
        <f t="shared" si="3"/>
        <v>203190</v>
      </c>
      <c r="U8" s="114"/>
    </row>
    <row r="9" spans="1:21">
      <c r="A9" s="142">
        <v>44986</v>
      </c>
      <c r="B9" s="107">
        <v>302974</v>
      </c>
      <c r="C9" s="107">
        <v>22251</v>
      </c>
      <c r="D9" s="107">
        <v>106551</v>
      </c>
      <c r="O9" s="105">
        <v>7</v>
      </c>
      <c r="P9" s="147">
        <f t="shared" si="0"/>
        <v>45292</v>
      </c>
      <c r="Q9" s="148">
        <f t="shared" si="1"/>
        <v>325213</v>
      </c>
      <c r="R9" s="148">
        <f t="shared" si="2"/>
        <v>23803</v>
      </c>
      <c r="S9" s="148">
        <f t="shared" si="3"/>
        <v>200818</v>
      </c>
      <c r="U9" s="114"/>
    </row>
    <row r="10" spans="1:21">
      <c r="A10" s="142">
        <v>45017</v>
      </c>
      <c r="B10" s="107">
        <v>303115</v>
      </c>
      <c r="C10" s="107">
        <v>20996</v>
      </c>
      <c r="D10" s="107">
        <v>105782</v>
      </c>
      <c r="O10" s="105">
        <v>6</v>
      </c>
      <c r="P10" s="147">
        <f t="shared" si="0"/>
        <v>45323</v>
      </c>
      <c r="Q10" s="148">
        <f t="shared" si="1"/>
        <v>324457</v>
      </c>
      <c r="R10" s="148">
        <f t="shared" si="2"/>
        <v>23534</v>
      </c>
      <c r="S10" s="148">
        <f t="shared" si="3"/>
        <v>198550</v>
      </c>
      <c r="U10" s="114"/>
    </row>
    <row r="11" spans="1:21">
      <c r="A11" s="142">
        <v>45047</v>
      </c>
      <c r="B11" s="107">
        <v>306251</v>
      </c>
      <c r="C11" s="107">
        <v>26881</v>
      </c>
      <c r="D11" s="107">
        <v>105135</v>
      </c>
      <c r="O11" s="105">
        <v>5</v>
      </c>
      <c r="P11" s="147">
        <f t="shared" si="0"/>
        <v>45352</v>
      </c>
      <c r="Q11" s="148">
        <f t="shared" si="1"/>
        <v>323919</v>
      </c>
      <c r="R11" s="148">
        <f t="shared" si="2"/>
        <v>24159</v>
      </c>
      <c r="S11" s="148">
        <f t="shared" si="3"/>
        <v>196824</v>
      </c>
      <c r="U11" s="114"/>
    </row>
    <row r="12" spans="1:21">
      <c r="A12" s="142">
        <v>45078</v>
      </c>
      <c r="B12" s="107">
        <v>330054</v>
      </c>
      <c r="C12" s="107">
        <v>25330</v>
      </c>
      <c r="D12" s="107">
        <v>104546</v>
      </c>
      <c r="O12" s="105">
        <v>4</v>
      </c>
      <c r="P12" s="147">
        <f t="shared" si="0"/>
        <v>45383</v>
      </c>
      <c r="Q12" s="148">
        <f t="shared" si="1"/>
        <v>323559</v>
      </c>
      <c r="R12" s="148">
        <f t="shared" si="2"/>
        <v>24029</v>
      </c>
      <c r="S12" s="148">
        <f t="shared" si="3"/>
        <v>195398</v>
      </c>
      <c r="U12" s="114"/>
    </row>
    <row r="13" spans="1:21">
      <c r="A13" s="142">
        <v>45108</v>
      </c>
      <c r="B13" s="107">
        <v>329242</v>
      </c>
      <c r="C13" s="107">
        <v>24784</v>
      </c>
      <c r="D13" s="107">
        <v>127484</v>
      </c>
      <c r="O13" s="105">
        <v>3</v>
      </c>
      <c r="P13" s="147">
        <f t="shared" si="0"/>
        <v>45413</v>
      </c>
      <c r="Q13" s="148">
        <f t="shared" si="1"/>
        <v>323315</v>
      </c>
      <c r="R13" s="148">
        <f t="shared" si="2"/>
        <v>24433</v>
      </c>
      <c r="S13" s="148">
        <f t="shared" si="3"/>
        <v>194084</v>
      </c>
      <c r="U13" s="114"/>
    </row>
    <row r="14" spans="1:21">
      <c r="A14" s="142">
        <v>45139</v>
      </c>
      <c r="B14" s="107">
        <v>328540</v>
      </c>
      <c r="C14" s="107">
        <v>24120</v>
      </c>
      <c r="D14" s="107">
        <v>170862</v>
      </c>
      <c r="O14" s="105">
        <v>2</v>
      </c>
      <c r="P14" s="147">
        <f t="shared" si="0"/>
        <v>45444</v>
      </c>
      <c r="Q14" s="148">
        <f t="shared" si="1"/>
        <v>323112</v>
      </c>
      <c r="R14" s="148">
        <f t="shared" si="2"/>
        <v>24386</v>
      </c>
      <c r="S14" s="148">
        <f t="shared" si="3"/>
        <v>192883</v>
      </c>
      <c r="U14" s="114"/>
    </row>
    <row r="15" spans="1:21">
      <c r="A15" s="142" t="s">
        <v>104</v>
      </c>
      <c r="B15" s="107">
        <v>327807</v>
      </c>
      <c r="C15" s="107">
        <v>24351</v>
      </c>
      <c r="D15" s="107">
        <v>209685</v>
      </c>
      <c r="O15" s="105">
        <v>1</v>
      </c>
      <c r="P15" s="147">
        <f t="shared" si="0"/>
        <v>45474</v>
      </c>
      <c r="Q15" s="148">
        <f t="shared" si="1"/>
        <v>322812</v>
      </c>
      <c r="R15" s="148">
        <f t="shared" si="2"/>
        <v>24480</v>
      </c>
      <c r="S15" s="148">
        <f t="shared" si="3"/>
        <v>191636</v>
      </c>
      <c r="U15" s="114"/>
    </row>
    <row r="16" spans="1:21">
      <c r="A16" s="142" t="s">
        <v>105</v>
      </c>
      <c r="B16" s="107">
        <v>327316</v>
      </c>
      <c r="C16" s="107">
        <v>24169</v>
      </c>
      <c r="D16" s="107">
        <v>206054</v>
      </c>
      <c r="P16" s="147">
        <f t="shared" si="0"/>
        <v>45505</v>
      </c>
      <c r="Q16" s="148">
        <f t="shared" si="1"/>
        <v>322563</v>
      </c>
      <c r="R16" s="148">
        <f t="shared" si="2"/>
        <v>24781</v>
      </c>
      <c r="S16" s="148">
        <f t="shared" si="3"/>
        <v>190280</v>
      </c>
      <c r="U16" s="114"/>
    </row>
    <row r="17" spans="1:21">
      <c r="A17" s="142">
        <v>45231</v>
      </c>
      <c r="B17" s="107">
        <v>326663</v>
      </c>
      <c r="C17" s="107">
        <v>24349</v>
      </c>
      <c r="D17" s="107">
        <v>204222</v>
      </c>
      <c r="U17" s="114"/>
    </row>
    <row r="18" spans="1:21">
      <c r="A18" s="142">
        <v>45261</v>
      </c>
      <c r="B18" s="107">
        <v>325870</v>
      </c>
      <c r="C18" s="107">
        <v>24077</v>
      </c>
      <c r="D18" s="107">
        <v>203190</v>
      </c>
      <c r="U18" s="114"/>
    </row>
    <row r="19" spans="1:21">
      <c r="A19" s="142">
        <v>45292</v>
      </c>
      <c r="B19" s="107">
        <v>325213</v>
      </c>
      <c r="C19" s="107">
        <v>23803</v>
      </c>
      <c r="D19" s="107">
        <v>200818</v>
      </c>
      <c r="R19" s="149"/>
      <c r="U19" s="114"/>
    </row>
    <row r="20" spans="1:21">
      <c r="A20" s="142">
        <v>45323</v>
      </c>
      <c r="B20" s="107">
        <v>324457</v>
      </c>
      <c r="C20" s="107">
        <v>23534</v>
      </c>
      <c r="D20" s="107">
        <v>198550</v>
      </c>
      <c r="U20" s="114"/>
    </row>
    <row r="21" spans="1:21">
      <c r="A21" s="142">
        <v>45352</v>
      </c>
      <c r="B21" s="107">
        <v>323919</v>
      </c>
      <c r="C21" s="107">
        <v>24159</v>
      </c>
      <c r="D21" s="107">
        <v>196824</v>
      </c>
      <c r="E21" s="120"/>
      <c r="U21" s="114"/>
    </row>
    <row r="22" spans="1:21">
      <c r="A22" s="142">
        <v>45383</v>
      </c>
      <c r="B22" s="107">
        <v>323559</v>
      </c>
      <c r="C22" s="107">
        <v>24029</v>
      </c>
      <c r="D22" s="107">
        <v>195398</v>
      </c>
      <c r="E22" s="120"/>
      <c r="U22" s="114"/>
    </row>
    <row r="23" spans="1:21">
      <c r="A23" s="142">
        <v>45413</v>
      </c>
      <c r="B23" s="107">
        <v>323315</v>
      </c>
      <c r="C23" s="107">
        <v>24433</v>
      </c>
      <c r="D23" s="107">
        <v>194084</v>
      </c>
      <c r="U23" s="114"/>
    </row>
    <row r="24" spans="1:21">
      <c r="A24" s="142">
        <v>45444</v>
      </c>
      <c r="B24" s="107">
        <v>323112</v>
      </c>
      <c r="C24" s="107">
        <v>24386</v>
      </c>
      <c r="D24" s="107">
        <v>192883</v>
      </c>
      <c r="U24" s="114"/>
    </row>
    <row r="25" spans="1:21">
      <c r="A25" s="142">
        <v>45474</v>
      </c>
      <c r="B25" s="107">
        <v>322812</v>
      </c>
      <c r="C25" s="107">
        <v>24480</v>
      </c>
      <c r="D25" s="107">
        <v>191636</v>
      </c>
      <c r="P25" s="120"/>
      <c r="U25" s="114"/>
    </row>
    <row r="26" spans="1:21">
      <c r="A26" s="142">
        <v>45505</v>
      </c>
      <c r="B26" s="107">
        <v>322563</v>
      </c>
      <c r="C26" s="107">
        <v>24781</v>
      </c>
      <c r="D26" s="107">
        <v>190280</v>
      </c>
      <c r="U26" s="114"/>
    </row>
    <row r="27" spans="1:21">
      <c r="A27" s="142"/>
      <c r="B27" s="107"/>
      <c r="C27" s="107"/>
      <c r="D27" s="107"/>
      <c r="U27" s="114"/>
    </row>
    <row r="28" spans="1:21">
      <c r="A28" s="142"/>
      <c r="B28" s="107"/>
      <c r="C28" s="107"/>
      <c r="D28" s="107"/>
      <c r="U28" s="114"/>
    </row>
    <row r="29" spans="1:21">
      <c r="A29" s="142"/>
      <c r="B29" s="107"/>
      <c r="C29" s="107"/>
      <c r="D29" s="107"/>
      <c r="U29" s="114"/>
    </row>
    <row r="30" spans="1:21">
      <c r="A30" s="142"/>
      <c r="B30" s="107"/>
      <c r="C30" s="107"/>
      <c r="D30" s="107"/>
      <c r="U30" s="114"/>
    </row>
    <row r="31" spans="1:21">
      <c r="A31" s="142"/>
      <c r="B31" s="107"/>
      <c r="C31" s="107"/>
      <c r="D31" s="107"/>
      <c r="U31" s="114"/>
    </row>
    <row r="32" spans="1:21">
      <c r="A32" s="142"/>
      <c r="B32" s="107"/>
      <c r="C32" s="107"/>
      <c r="D32" s="107"/>
      <c r="U32" s="114"/>
    </row>
    <row r="33" spans="1:21">
      <c r="A33" s="142"/>
      <c r="B33" s="107"/>
      <c r="C33" s="107"/>
      <c r="D33" s="107"/>
      <c r="U33" s="114"/>
    </row>
    <row r="34" spans="1:21">
      <c r="A34" s="142"/>
      <c r="B34" s="107"/>
      <c r="C34" s="107"/>
      <c r="D34" s="107"/>
      <c r="U34" s="114"/>
    </row>
    <row r="35" spans="1:21">
      <c r="A35" s="142"/>
      <c r="B35" s="107"/>
      <c r="C35" s="107"/>
      <c r="D35" s="107"/>
      <c r="U35" s="114"/>
    </row>
    <row r="36" spans="1:21">
      <c r="A36" s="142"/>
      <c r="B36" s="107"/>
      <c r="C36" s="107"/>
      <c r="D36" s="107"/>
      <c r="U36" s="114"/>
    </row>
    <row r="37" spans="1:21">
      <c r="A37" s="142"/>
      <c r="B37" s="107"/>
      <c r="C37" s="107"/>
      <c r="D37" s="107"/>
      <c r="U37" s="114"/>
    </row>
    <row r="38" spans="1:21">
      <c r="A38" s="142"/>
      <c r="B38" s="107"/>
      <c r="C38" s="107"/>
      <c r="D38" s="107"/>
      <c r="U38" s="114"/>
    </row>
    <row r="39" spans="1:21">
      <c r="A39" s="142"/>
      <c r="B39" s="107"/>
      <c r="C39" s="107"/>
      <c r="D39" s="107"/>
      <c r="U39" s="114"/>
    </row>
    <row r="40" spans="1:21">
      <c r="A40" s="142"/>
      <c r="B40" s="107"/>
      <c r="C40" s="107"/>
      <c r="D40" s="107"/>
      <c r="U40" s="114"/>
    </row>
    <row r="41" spans="1:21">
      <c r="A41" s="142"/>
      <c r="B41" s="107"/>
      <c r="C41" s="107"/>
      <c r="D41" s="107"/>
      <c r="U41" s="114"/>
    </row>
    <row r="42" spans="1:21">
      <c r="A42" s="142"/>
      <c r="B42" s="107"/>
      <c r="C42" s="107"/>
      <c r="D42" s="107"/>
      <c r="U42" s="114"/>
    </row>
    <row r="43" spans="1:21">
      <c r="A43" s="142"/>
      <c r="B43" s="107"/>
      <c r="C43" s="107"/>
      <c r="D43" s="107"/>
      <c r="U43" s="114"/>
    </row>
    <row r="44" spans="1:21">
      <c r="A44" s="142"/>
      <c r="B44" s="107"/>
      <c r="C44" s="107"/>
      <c r="D44" s="107"/>
      <c r="U44" s="114"/>
    </row>
    <row r="45" spans="1:21">
      <c r="A45" s="142"/>
      <c r="B45" s="107"/>
      <c r="C45" s="107"/>
      <c r="D45" s="107"/>
      <c r="U45" s="114"/>
    </row>
    <row r="46" spans="1:21">
      <c r="A46" s="142"/>
      <c r="B46" s="107"/>
      <c r="C46" s="107"/>
      <c r="D46" s="107"/>
      <c r="U46" s="114"/>
    </row>
    <row r="47" spans="1:21">
      <c r="A47" s="142"/>
      <c r="B47" s="107"/>
      <c r="C47" s="107"/>
      <c r="D47" s="107"/>
      <c r="U47" s="114"/>
    </row>
    <row r="48" spans="1:21">
      <c r="A48" s="142"/>
      <c r="B48" s="107"/>
      <c r="C48" s="107"/>
      <c r="D48" s="107"/>
      <c r="U48" s="114"/>
    </row>
    <row r="49" spans="1:21">
      <c r="A49" s="142"/>
      <c r="B49" s="107"/>
      <c r="C49" s="107"/>
      <c r="D49" s="107"/>
      <c r="U49" s="114"/>
    </row>
    <row r="50" spans="1:21">
      <c r="A50" s="142"/>
      <c r="B50" s="107"/>
      <c r="C50" s="107"/>
      <c r="D50" s="107"/>
      <c r="U50" s="114"/>
    </row>
    <row r="51" spans="1:21">
      <c r="A51" s="142"/>
      <c r="B51" s="107"/>
      <c r="C51" s="107"/>
      <c r="D51" s="107"/>
    </row>
    <row r="52" spans="1:21">
      <c r="A52" s="142"/>
      <c r="B52" s="107"/>
      <c r="C52" s="107"/>
      <c r="D52" s="107"/>
    </row>
    <row r="53" spans="1:21">
      <c r="A53" s="142"/>
      <c r="B53" s="107"/>
      <c r="C53" s="107"/>
      <c r="D53" s="107"/>
    </row>
    <row r="54" spans="1:21">
      <c r="A54" s="142"/>
      <c r="B54" s="107"/>
      <c r="C54" s="107"/>
      <c r="D54" s="107"/>
    </row>
    <row r="55" spans="1:21">
      <c r="A55" s="142"/>
      <c r="B55" s="107"/>
      <c r="C55" s="107"/>
      <c r="D55" s="107"/>
    </row>
    <row r="56" spans="1:21">
      <c r="A56" s="142"/>
      <c r="B56" s="107"/>
      <c r="C56" s="107"/>
      <c r="D56" s="107"/>
    </row>
    <row r="57" spans="1:21">
      <c r="A57" s="142"/>
      <c r="B57" s="107"/>
      <c r="C57" s="107"/>
      <c r="D57" s="107"/>
    </row>
    <row r="58" spans="1:21">
      <c r="A58" s="142"/>
      <c r="B58" s="107"/>
      <c r="C58" s="107"/>
      <c r="D58" s="107"/>
    </row>
    <row r="59" spans="1:21">
      <c r="A59" s="142"/>
      <c r="B59" s="107"/>
      <c r="C59" s="107"/>
      <c r="D59" s="107"/>
    </row>
    <row r="60" spans="1:21">
      <c r="A60" s="142"/>
      <c r="B60" s="107"/>
      <c r="C60" s="107"/>
      <c r="D60" s="107"/>
    </row>
    <row r="64" spans="1:21">
      <c r="A64" s="150"/>
    </row>
    <row r="65" spans="1:1">
      <c r="A65" s="150"/>
    </row>
    <row r="66" spans="1:1">
      <c r="A66" s="150"/>
    </row>
    <row r="67" spans="1:1">
      <c r="A67" s="150"/>
    </row>
    <row r="68" spans="1:1">
      <c r="A68" s="150"/>
    </row>
    <row r="69" spans="1:1">
      <c r="A69" s="150"/>
    </row>
    <row r="70" spans="1:1">
      <c r="A70" s="150"/>
    </row>
    <row r="71" spans="1:1">
      <c r="A71" s="150"/>
    </row>
  </sheetData>
  <mergeCells count="1">
    <mergeCell ref="P3:S3"/>
  </mergeCells>
  <phoneticPr fontId="1" type="noConversion"/>
  <conditionalFormatting sqref="L5">
    <cfRule type="containsText" dxfId="5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T43"/>
  <sheetViews>
    <sheetView workbookViewId="0">
      <selection activeCell="A18" sqref="A18"/>
    </sheetView>
  </sheetViews>
  <sheetFormatPr defaultColWidth="8.75" defaultRowHeight="16.5"/>
  <cols>
    <col min="1" max="1" width="49.25" style="43" customWidth="1"/>
    <col min="2" max="14" width="8.75" style="43"/>
    <col min="15" max="15" width="8.75" style="100"/>
    <col min="16" max="18" width="8.75" style="43"/>
    <col min="19" max="21" width="8.75" style="100"/>
    <col min="22" max="25" width="8.75" style="43"/>
    <col min="26" max="26" width="8.75" style="100"/>
    <col min="27" max="42" width="8.75" style="43"/>
    <col min="43" max="44" width="10.875" bestFit="1" customWidth="1"/>
  </cols>
  <sheetData>
    <row r="1" spans="1:46">
      <c r="A1" s="43" t="s">
        <v>33</v>
      </c>
      <c r="B1" s="43" t="s">
        <v>34</v>
      </c>
      <c r="C1" s="43" t="s">
        <v>35</v>
      </c>
      <c r="D1" s="43" t="s">
        <v>36</v>
      </c>
      <c r="E1" s="43" t="s">
        <v>37</v>
      </c>
      <c r="F1" s="43" t="s">
        <v>38</v>
      </c>
      <c r="G1" s="43" t="s">
        <v>39</v>
      </c>
      <c r="H1" s="43" t="s">
        <v>40</v>
      </c>
      <c r="I1" s="43" t="s">
        <v>41</v>
      </c>
      <c r="J1" s="43" t="s">
        <v>42</v>
      </c>
      <c r="K1" s="43" t="s">
        <v>43</v>
      </c>
      <c r="L1" s="43" t="s">
        <v>109</v>
      </c>
      <c r="M1" s="43" t="s">
        <v>44</v>
      </c>
      <c r="N1" s="43" t="s">
        <v>48</v>
      </c>
      <c r="O1" s="100" t="s">
        <v>174</v>
      </c>
      <c r="P1" s="43" t="s">
        <v>175</v>
      </c>
      <c r="Q1" s="43" t="s">
        <v>47</v>
      </c>
      <c r="R1" s="43" t="s">
        <v>46</v>
      </c>
      <c r="S1" s="100" t="s">
        <v>45</v>
      </c>
      <c r="T1" s="100" t="s">
        <v>17</v>
      </c>
      <c r="U1" s="100" t="s">
        <v>18</v>
      </c>
      <c r="V1" s="43" t="s">
        <v>50</v>
      </c>
      <c r="W1" s="43" t="s">
        <v>49</v>
      </c>
      <c r="X1" s="43" t="s">
        <v>176</v>
      </c>
      <c r="Y1" s="43" t="s">
        <v>177</v>
      </c>
      <c r="Z1" s="100" t="s">
        <v>51</v>
      </c>
      <c r="AA1" s="43" t="s">
        <v>178</v>
      </c>
      <c r="AB1" s="43" t="s">
        <v>179</v>
      </c>
      <c r="AC1" s="43" t="s">
        <v>180</v>
      </c>
      <c r="AD1" s="43" t="s">
        <v>181</v>
      </c>
      <c r="AE1" s="43" t="s">
        <v>111</v>
      </c>
      <c r="AF1" s="43" t="s">
        <v>182</v>
      </c>
      <c r="AG1" s="43" t="s">
        <v>113</v>
      </c>
      <c r="AH1" s="43" t="s">
        <v>52</v>
      </c>
      <c r="AI1" s="43" t="s">
        <v>183</v>
      </c>
      <c r="AJ1" s="43" t="s">
        <v>125</v>
      </c>
      <c r="AK1" s="43" t="s">
        <v>112</v>
      </c>
    </row>
    <row r="2" spans="1:46" ht="17.45" customHeight="1">
      <c r="A2" s="43" t="s">
        <v>210</v>
      </c>
      <c r="B2" s="43">
        <v>0</v>
      </c>
      <c r="C2" s="43">
        <v>45506</v>
      </c>
      <c r="D2" s="43" t="s">
        <v>126</v>
      </c>
      <c r="E2" s="43" t="s">
        <v>211</v>
      </c>
      <c r="F2" s="43">
        <v>0</v>
      </c>
      <c r="G2" s="43">
        <v>0</v>
      </c>
      <c r="H2" s="43" t="s">
        <v>127</v>
      </c>
      <c r="M2" s="43" t="s">
        <v>128</v>
      </c>
      <c r="N2" s="43">
        <v>26074</v>
      </c>
      <c r="O2" s="100">
        <v>16415</v>
      </c>
      <c r="P2" s="43">
        <v>2730</v>
      </c>
      <c r="Q2" s="43" t="s">
        <v>185</v>
      </c>
      <c r="R2" s="43">
        <v>1580</v>
      </c>
      <c r="S2" s="100">
        <v>17</v>
      </c>
      <c r="T2" s="100">
        <v>1058</v>
      </c>
      <c r="U2" s="100">
        <v>35</v>
      </c>
      <c r="V2" s="43">
        <v>1</v>
      </c>
      <c r="W2" s="43">
        <v>136</v>
      </c>
      <c r="X2" s="43" t="s">
        <v>185</v>
      </c>
      <c r="Z2" s="100">
        <v>470</v>
      </c>
      <c r="AA2" s="43">
        <v>0</v>
      </c>
      <c r="AE2" s="43">
        <v>0</v>
      </c>
      <c r="AQ2" s="38">
        <f>IF(C2="","",IFERROR(DATE(MID(C2,7,4),LEFT(C2,2),MID(C2,4,2)),C2))</f>
        <v>45506</v>
      </c>
      <c r="AR2">
        <f>IFERROR(RANK(AT2,AT:AT,0)+COUNTIF($AT$1:AT1,AT2),"")</f>
        <v>5</v>
      </c>
      <c r="AT2" s="101">
        <f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9.625342674383186E-2</v>
      </c>
    </row>
    <row r="3" spans="1:46" ht="17.45" customHeight="1">
      <c r="A3" s="43" t="s">
        <v>212</v>
      </c>
      <c r="B3" s="43">
        <v>0</v>
      </c>
      <c r="C3" s="43">
        <v>45509</v>
      </c>
      <c r="D3" s="43" t="s">
        <v>126</v>
      </c>
      <c r="E3" s="43" t="s">
        <v>213</v>
      </c>
      <c r="F3" s="43">
        <v>0</v>
      </c>
      <c r="G3" s="43">
        <v>0</v>
      </c>
      <c r="H3" s="43" t="s">
        <v>127</v>
      </c>
      <c r="M3" s="43" t="s">
        <v>128</v>
      </c>
      <c r="N3" s="43">
        <v>2946</v>
      </c>
      <c r="O3" s="100">
        <v>2584</v>
      </c>
      <c r="P3" s="43">
        <v>2556</v>
      </c>
      <c r="Q3" s="43" t="s">
        <v>185</v>
      </c>
      <c r="R3" s="43">
        <v>146</v>
      </c>
      <c r="S3" s="100">
        <v>3</v>
      </c>
      <c r="T3" s="100">
        <v>77</v>
      </c>
      <c r="U3" s="100">
        <v>9</v>
      </c>
      <c r="W3" s="43">
        <v>21</v>
      </c>
      <c r="X3" s="43">
        <v>36</v>
      </c>
      <c r="Z3" s="100">
        <v>57</v>
      </c>
      <c r="AA3" s="43">
        <v>0</v>
      </c>
      <c r="AE3" s="43">
        <v>0</v>
      </c>
      <c r="AQ3" s="38">
        <f t="shared" ref="AQ3:AQ43" si="0">IF(C3="","",IFERROR(DATE(MID(C3,7,4),LEFT(C3,2),MID(C3,4,2)),C3))</f>
        <v>45509</v>
      </c>
      <c r="AR3">
        <f>IFERROR(RANK(AT3,AT:AT,0)+COUNTIF($AT$1:AT2,AT3),"")</f>
        <v>9</v>
      </c>
      <c r="AT3" s="101">
        <f t="shared" ref="AT3:AT43" si="1"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5.6501547987616099E-2</v>
      </c>
    </row>
    <row r="4" spans="1:46" ht="17.45" customHeight="1">
      <c r="A4" s="43" t="s">
        <v>214</v>
      </c>
      <c r="B4" s="43">
        <v>0</v>
      </c>
      <c r="C4" s="43">
        <v>45510</v>
      </c>
      <c r="D4" s="43" t="s">
        <v>126</v>
      </c>
      <c r="E4" s="43" t="s">
        <v>215</v>
      </c>
      <c r="F4" s="43">
        <v>0</v>
      </c>
      <c r="G4" s="43">
        <v>0</v>
      </c>
      <c r="H4" s="43" t="s">
        <v>127</v>
      </c>
      <c r="M4" s="43" t="s">
        <v>128</v>
      </c>
      <c r="N4" s="43">
        <v>15377</v>
      </c>
      <c r="O4" s="100">
        <v>11075</v>
      </c>
      <c r="P4" s="43">
        <v>3058</v>
      </c>
      <c r="Q4" s="43" t="s">
        <v>185</v>
      </c>
      <c r="R4" s="43">
        <v>1097</v>
      </c>
      <c r="S4" s="100">
        <v>17</v>
      </c>
      <c r="T4" s="100">
        <v>919</v>
      </c>
      <c r="U4" s="100">
        <v>27</v>
      </c>
      <c r="V4" s="43">
        <v>15</v>
      </c>
      <c r="W4" s="43">
        <v>78</v>
      </c>
      <c r="X4" s="43">
        <v>41</v>
      </c>
      <c r="Z4" s="100">
        <v>134</v>
      </c>
      <c r="AA4" s="43">
        <v>0</v>
      </c>
      <c r="AE4" s="43">
        <v>0</v>
      </c>
      <c r="AG4" s="43">
        <v>0</v>
      </c>
      <c r="AH4" s="43">
        <v>0</v>
      </c>
      <c r="AK4" s="43">
        <v>0</v>
      </c>
      <c r="AQ4" s="38">
        <f t="shared" si="0"/>
        <v>45510</v>
      </c>
      <c r="AR4">
        <f>IFERROR(RANK(AT4,AT:AT,0)+COUNTIF($AT$1:AT3,AT4),"")</f>
        <v>4</v>
      </c>
      <c r="AT4" s="101">
        <f t="shared" si="1"/>
        <v>9.9051918735891642E-2</v>
      </c>
    </row>
    <row r="5" spans="1:46" ht="17.45" customHeight="1">
      <c r="A5" s="43" t="s">
        <v>216</v>
      </c>
      <c r="B5" s="43">
        <v>299</v>
      </c>
      <c r="C5" s="43">
        <v>45511</v>
      </c>
      <c r="D5" s="43" t="s">
        <v>126</v>
      </c>
      <c r="E5" s="43" t="s">
        <v>217</v>
      </c>
      <c r="F5" s="43">
        <v>0</v>
      </c>
      <c r="G5" s="43">
        <v>0</v>
      </c>
      <c r="H5" s="43" t="s">
        <v>129</v>
      </c>
      <c r="M5" s="43" t="s">
        <v>128</v>
      </c>
      <c r="N5" s="43">
        <v>36310</v>
      </c>
      <c r="O5" s="100">
        <v>18689</v>
      </c>
      <c r="P5" s="43">
        <v>1825</v>
      </c>
      <c r="Q5" s="43">
        <v>12739</v>
      </c>
      <c r="R5" s="43">
        <v>357</v>
      </c>
      <c r="S5" s="100">
        <v>2</v>
      </c>
      <c r="T5" s="100">
        <v>130</v>
      </c>
      <c r="U5" s="100">
        <v>9</v>
      </c>
      <c r="V5" s="43">
        <v>2</v>
      </c>
      <c r="W5" s="43">
        <v>142</v>
      </c>
      <c r="X5" s="43" t="s">
        <v>185</v>
      </c>
      <c r="Z5" s="100">
        <v>216</v>
      </c>
      <c r="AA5" s="43">
        <v>412</v>
      </c>
      <c r="AE5" s="43">
        <v>8577</v>
      </c>
      <c r="AF5" s="43">
        <v>1</v>
      </c>
      <c r="AI5" s="43">
        <v>244711.37599999999</v>
      </c>
      <c r="AJ5" s="43">
        <v>7.0060000000000002</v>
      </c>
      <c r="AQ5" s="38">
        <f t="shared" si="0"/>
        <v>45511</v>
      </c>
      <c r="AR5">
        <f>IFERROR(RANK(AT5,AT:AT,0)+COUNTIF($AT$1:AT4,AT5),"")</f>
        <v>13</v>
      </c>
      <c r="AT5" s="101">
        <f t="shared" si="1"/>
        <v>1.9102145647172133E-2</v>
      </c>
    </row>
    <row r="6" spans="1:46" ht="17.45" customHeight="1">
      <c r="A6" s="43" t="s">
        <v>218</v>
      </c>
      <c r="B6" s="43">
        <v>0</v>
      </c>
      <c r="C6" s="43">
        <v>45512</v>
      </c>
      <c r="D6" s="43" t="s">
        <v>126</v>
      </c>
      <c r="E6" s="43" t="s">
        <v>219</v>
      </c>
      <c r="F6" s="43">
        <v>0</v>
      </c>
      <c r="G6" s="43">
        <v>0</v>
      </c>
      <c r="H6" s="43" t="s">
        <v>130</v>
      </c>
      <c r="M6" s="43" t="s">
        <v>128</v>
      </c>
      <c r="N6" s="43">
        <v>40662</v>
      </c>
      <c r="O6" s="100">
        <v>25318</v>
      </c>
      <c r="P6" s="43">
        <v>1115</v>
      </c>
      <c r="Q6" s="43" t="s">
        <v>185</v>
      </c>
      <c r="R6" s="43">
        <v>1367</v>
      </c>
      <c r="S6" s="100">
        <v>22</v>
      </c>
      <c r="T6" s="100">
        <v>242</v>
      </c>
      <c r="U6" s="100">
        <v>38</v>
      </c>
      <c r="V6" s="43">
        <v>562</v>
      </c>
      <c r="W6" s="43">
        <v>503</v>
      </c>
      <c r="X6" s="43" t="s">
        <v>185</v>
      </c>
      <c r="Z6" s="100">
        <v>1065</v>
      </c>
      <c r="AA6" s="43">
        <v>0</v>
      </c>
      <c r="AE6" s="43">
        <v>0</v>
      </c>
      <c r="AQ6" s="38">
        <f t="shared" si="0"/>
        <v>45512</v>
      </c>
      <c r="AR6">
        <f>IFERROR(RANK(AT6,AT:AT,0)+COUNTIF($AT$1:AT5,AT6),"")</f>
        <v>10</v>
      </c>
      <c r="AT6" s="101">
        <f t="shared" si="1"/>
        <v>5.3993206414408718E-2</v>
      </c>
    </row>
    <row r="7" spans="1:46" ht="17.45" customHeight="1">
      <c r="A7" s="43" t="s">
        <v>220</v>
      </c>
      <c r="B7" s="43">
        <v>0</v>
      </c>
      <c r="C7" s="43">
        <v>45516</v>
      </c>
      <c r="D7" s="43" t="s">
        <v>126</v>
      </c>
      <c r="E7" s="43" t="s">
        <v>221</v>
      </c>
      <c r="F7" s="43">
        <v>0</v>
      </c>
      <c r="G7" s="43">
        <v>0</v>
      </c>
      <c r="H7" s="43" t="s">
        <v>127</v>
      </c>
      <c r="M7" s="43" t="s">
        <v>128</v>
      </c>
      <c r="N7" s="43">
        <v>3845</v>
      </c>
      <c r="O7" s="100">
        <v>3324</v>
      </c>
      <c r="P7" s="43">
        <v>3085</v>
      </c>
      <c r="Q7" s="43" t="s">
        <v>185</v>
      </c>
      <c r="R7" s="43">
        <v>275</v>
      </c>
      <c r="S7" s="100">
        <v>4</v>
      </c>
      <c r="T7" s="100">
        <v>183</v>
      </c>
      <c r="U7" s="100">
        <v>15</v>
      </c>
      <c r="W7" s="43">
        <v>21</v>
      </c>
      <c r="X7" s="43">
        <v>52</v>
      </c>
      <c r="Z7" s="100">
        <v>73</v>
      </c>
      <c r="AA7" s="43">
        <v>0</v>
      </c>
      <c r="AE7" s="43">
        <v>0</v>
      </c>
      <c r="AQ7" s="38">
        <f t="shared" si="0"/>
        <v>45516</v>
      </c>
      <c r="AR7">
        <f>IFERROR(RANK(AT7,AT:AT,0)+COUNTIF($AT$1:AT6,AT7),"")</f>
        <v>6</v>
      </c>
      <c r="AT7" s="101">
        <f t="shared" si="1"/>
        <v>8.2731648616125156E-2</v>
      </c>
    </row>
    <row r="8" spans="1:46" ht="17.45" customHeight="1">
      <c r="A8" s="43" t="s">
        <v>222</v>
      </c>
      <c r="B8" s="43">
        <v>0</v>
      </c>
      <c r="C8" s="43">
        <v>45517</v>
      </c>
      <c r="D8" s="43" t="s">
        <v>126</v>
      </c>
      <c r="E8" s="43" t="s">
        <v>223</v>
      </c>
      <c r="F8" s="43">
        <v>0</v>
      </c>
      <c r="G8" s="43">
        <v>0</v>
      </c>
      <c r="H8" s="43" t="s">
        <v>127</v>
      </c>
      <c r="M8" s="43" t="s">
        <v>128</v>
      </c>
      <c r="N8" s="43">
        <v>16541</v>
      </c>
      <c r="O8" s="100">
        <v>10278</v>
      </c>
      <c r="P8" s="43">
        <v>1013</v>
      </c>
      <c r="Q8" s="43" t="s">
        <v>185</v>
      </c>
      <c r="R8" s="43">
        <v>1192</v>
      </c>
      <c r="S8" s="100">
        <v>8</v>
      </c>
      <c r="T8" s="100">
        <v>886</v>
      </c>
      <c r="U8" s="100">
        <v>20</v>
      </c>
      <c r="W8" s="43">
        <v>96</v>
      </c>
      <c r="X8" s="43" t="s">
        <v>185</v>
      </c>
      <c r="Z8" s="100">
        <v>278</v>
      </c>
      <c r="AA8" s="43">
        <v>0</v>
      </c>
      <c r="AE8" s="43">
        <v>0</v>
      </c>
      <c r="AQ8" s="38">
        <f t="shared" si="0"/>
        <v>45517</v>
      </c>
      <c r="AR8">
        <f>IFERROR(RANK(AT8,AT:AT,0)+COUNTIF($AT$1:AT7,AT8),"")</f>
        <v>3</v>
      </c>
      <c r="AT8" s="101">
        <f t="shared" si="1"/>
        <v>0.11597587079198288</v>
      </c>
    </row>
    <row r="9" spans="1:46" ht="17.45" customHeight="1">
      <c r="A9" s="43" t="s">
        <v>224</v>
      </c>
      <c r="B9" s="43">
        <v>0</v>
      </c>
      <c r="C9" s="43">
        <v>45519</v>
      </c>
      <c r="D9" s="43" t="s">
        <v>126</v>
      </c>
      <c r="E9" s="43" t="s">
        <v>225</v>
      </c>
      <c r="F9" s="43">
        <v>0</v>
      </c>
      <c r="G9" s="43">
        <v>0</v>
      </c>
      <c r="H9" s="43" t="s">
        <v>127</v>
      </c>
      <c r="M9" s="43" t="s">
        <v>128</v>
      </c>
      <c r="N9" s="43">
        <v>13011</v>
      </c>
      <c r="O9" s="100">
        <v>11724</v>
      </c>
      <c r="P9" s="43">
        <v>4704</v>
      </c>
      <c r="Q9" s="43" t="s">
        <v>185</v>
      </c>
      <c r="R9" s="43">
        <v>1801</v>
      </c>
      <c r="S9" s="100">
        <v>41</v>
      </c>
      <c r="T9" s="100">
        <v>1103</v>
      </c>
      <c r="U9" s="100">
        <v>34</v>
      </c>
      <c r="V9" s="43">
        <v>200</v>
      </c>
      <c r="W9" s="43">
        <v>358</v>
      </c>
      <c r="X9" s="43">
        <v>65</v>
      </c>
      <c r="Z9" s="100">
        <v>623</v>
      </c>
      <c r="AA9" s="43">
        <v>0</v>
      </c>
      <c r="AE9" s="43">
        <v>0</v>
      </c>
      <c r="AQ9" s="38">
        <f t="shared" si="0"/>
        <v>45519</v>
      </c>
      <c r="AR9">
        <f>IFERROR(RANK(AT9,AT:AT,0)+COUNTIF($AT$1:AT8,AT9),"")</f>
        <v>2</v>
      </c>
      <c r="AT9" s="101">
        <f t="shared" si="1"/>
        <v>0.15361651313544866</v>
      </c>
    </row>
    <row r="10" spans="1:46" ht="17.45" customHeight="1">
      <c r="A10" s="43" t="s">
        <v>226</v>
      </c>
      <c r="B10" s="43">
        <v>0</v>
      </c>
      <c r="C10" s="43">
        <v>45523</v>
      </c>
      <c r="D10" s="43" t="s">
        <v>126</v>
      </c>
      <c r="E10" s="43" t="s">
        <v>227</v>
      </c>
      <c r="F10" s="43">
        <v>0</v>
      </c>
      <c r="G10" s="43">
        <v>0</v>
      </c>
      <c r="H10" s="43" t="s">
        <v>127</v>
      </c>
      <c r="M10" s="43" t="s">
        <v>128</v>
      </c>
      <c r="N10" s="43">
        <v>3961</v>
      </c>
      <c r="O10" s="100">
        <v>3560</v>
      </c>
      <c r="P10" s="43">
        <v>3355</v>
      </c>
      <c r="Q10" s="43" t="s">
        <v>185</v>
      </c>
      <c r="R10" s="43">
        <v>229</v>
      </c>
      <c r="S10" s="100">
        <v>3</v>
      </c>
      <c r="T10" s="100">
        <v>128</v>
      </c>
      <c r="U10" s="100">
        <v>19</v>
      </c>
      <c r="W10" s="43">
        <v>25</v>
      </c>
      <c r="X10" s="43">
        <v>54</v>
      </c>
      <c r="Z10" s="100">
        <v>79</v>
      </c>
      <c r="AA10" s="43">
        <v>0</v>
      </c>
      <c r="AE10" s="43">
        <v>0</v>
      </c>
      <c r="AQ10" s="38">
        <f t="shared" si="0"/>
        <v>45523</v>
      </c>
      <c r="AR10">
        <f>IFERROR(RANK(AT10,AT:AT,0)+COUNTIF($AT$1:AT9,AT10),"")</f>
        <v>7</v>
      </c>
      <c r="AT10" s="101">
        <f t="shared" si="1"/>
        <v>6.4325842696629207E-2</v>
      </c>
    </row>
    <row r="11" spans="1:46" ht="17.45" customHeight="1">
      <c r="A11" s="43" t="s">
        <v>228</v>
      </c>
      <c r="B11" s="43">
        <v>216</v>
      </c>
      <c r="C11" s="43">
        <v>45524</v>
      </c>
      <c r="D11" s="43" t="s">
        <v>126</v>
      </c>
      <c r="E11" s="43" t="s">
        <v>229</v>
      </c>
      <c r="F11" s="43">
        <v>0</v>
      </c>
      <c r="G11" s="43">
        <v>0</v>
      </c>
      <c r="H11" s="43" t="s">
        <v>129</v>
      </c>
      <c r="M11" s="43" t="s">
        <v>128</v>
      </c>
      <c r="N11" s="43">
        <v>22894</v>
      </c>
      <c r="O11" s="100">
        <v>14101</v>
      </c>
      <c r="P11" s="43">
        <v>616</v>
      </c>
      <c r="Q11" s="43">
        <v>5772</v>
      </c>
      <c r="R11" s="43">
        <v>218</v>
      </c>
      <c r="S11" s="100">
        <v>2</v>
      </c>
      <c r="T11" s="100">
        <v>139</v>
      </c>
      <c r="U11" s="100">
        <v>8</v>
      </c>
      <c r="V11" s="43">
        <v>4</v>
      </c>
      <c r="W11" s="43">
        <v>39</v>
      </c>
      <c r="X11" s="43" t="s">
        <v>185</v>
      </c>
      <c r="Z11" s="100">
        <v>69</v>
      </c>
      <c r="AA11" s="43">
        <v>1860</v>
      </c>
      <c r="AE11" s="43">
        <v>4227</v>
      </c>
      <c r="AI11" s="43">
        <v>444835.40299999999</v>
      </c>
      <c r="AJ11" s="43">
        <v>21.198</v>
      </c>
      <c r="AQ11" s="38">
        <f t="shared" si="0"/>
        <v>45524</v>
      </c>
      <c r="AR11">
        <f>IFERROR(RANK(AT11,AT:AT,0)+COUNTIF($AT$1:AT10,AT11),"")</f>
        <v>15</v>
      </c>
      <c r="AT11" s="101">
        <f t="shared" si="1"/>
        <v>1.5459896461243884E-2</v>
      </c>
    </row>
    <row r="12" spans="1:46" ht="17.45" customHeight="1">
      <c r="A12" s="43" t="s">
        <v>230</v>
      </c>
      <c r="B12" s="43">
        <v>0</v>
      </c>
      <c r="C12" s="43">
        <v>45526</v>
      </c>
      <c r="D12" s="43" t="s">
        <v>126</v>
      </c>
      <c r="E12" s="43" t="s">
        <v>231</v>
      </c>
      <c r="F12" s="43">
        <v>0</v>
      </c>
      <c r="G12" s="43">
        <v>0</v>
      </c>
      <c r="H12" s="43" t="s">
        <v>130</v>
      </c>
      <c r="M12" s="43" t="s">
        <v>128</v>
      </c>
      <c r="N12" s="43">
        <v>31124</v>
      </c>
      <c r="O12" s="100">
        <v>18764</v>
      </c>
      <c r="P12" s="43">
        <v>2984</v>
      </c>
      <c r="Q12" s="43" t="s">
        <v>185</v>
      </c>
      <c r="R12" s="43">
        <v>1004</v>
      </c>
      <c r="S12" s="100">
        <v>5</v>
      </c>
      <c r="T12" s="100">
        <v>103</v>
      </c>
      <c r="U12" s="100">
        <v>19</v>
      </c>
      <c r="V12" s="43">
        <v>250</v>
      </c>
      <c r="W12" s="43">
        <v>627</v>
      </c>
      <c r="X12" s="43" t="s">
        <v>185</v>
      </c>
      <c r="Z12" s="100">
        <v>877</v>
      </c>
      <c r="AA12" s="43">
        <v>0</v>
      </c>
      <c r="AE12" s="43">
        <v>0</v>
      </c>
      <c r="AG12" s="43">
        <v>0</v>
      </c>
      <c r="AH12" s="43">
        <v>0</v>
      </c>
      <c r="AK12" s="43">
        <v>0</v>
      </c>
      <c r="AQ12" s="38">
        <f t="shared" si="0"/>
        <v>45526</v>
      </c>
      <c r="AR12">
        <f>IFERROR(RANK(AT12,AT:AT,0)+COUNTIF($AT$1:AT11,AT12),"")</f>
        <v>11</v>
      </c>
      <c r="AT12" s="101">
        <f t="shared" si="1"/>
        <v>5.3506714986143677E-2</v>
      </c>
    </row>
    <row r="13" spans="1:46" ht="17.45" customHeight="1">
      <c r="A13" s="43" t="s">
        <v>232</v>
      </c>
      <c r="B13" s="43">
        <v>0</v>
      </c>
      <c r="C13" s="43">
        <v>45527</v>
      </c>
      <c r="D13" s="43" t="s">
        <v>126</v>
      </c>
      <c r="E13" s="43" t="s">
        <v>233</v>
      </c>
      <c r="F13" s="43">
        <v>0</v>
      </c>
      <c r="G13" s="43">
        <v>0</v>
      </c>
      <c r="H13" s="43" t="s">
        <v>127</v>
      </c>
      <c r="M13" s="43" t="s">
        <v>128</v>
      </c>
      <c r="N13" s="43">
        <v>4793</v>
      </c>
      <c r="O13" s="100">
        <v>3168</v>
      </c>
      <c r="P13" s="43">
        <v>1880</v>
      </c>
      <c r="Q13" s="43" t="s">
        <v>185</v>
      </c>
      <c r="R13" s="43">
        <v>1956</v>
      </c>
      <c r="S13" s="100">
        <v>65</v>
      </c>
      <c r="T13" s="100">
        <v>927</v>
      </c>
      <c r="U13" s="100">
        <v>556</v>
      </c>
      <c r="V13" s="43">
        <v>50</v>
      </c>
      <c r="W13" s="43">
        <v>334</v>
      </c>
      <c r="X13" s="43">
        <v>24</v>
      </c>
      <c r="Z13" s="100">
        <v>408</v>
      </c>
      <c r="AA13" s="43">
        <v>0</v>
      </c>
      <c r="AE13" s="43">
        <v>0</v>
      </c>
      <c r="AQ13" s="38">
        <f t="shared" si="0"/>
        <v>45527</v>
      </c>
      <c r="AR13">
        <f>IFERROR(RANK(AT13,AT:AT,0)+COUNTIF($AT$1:AT12,AT13),"")</f>
        <v>1</v>
      </c>
      <c r="AT13" s="101">
        <f t="shared" si="1"/>
        <v>0.61742424242424243</v>
      </c>
    </row>
    <row r="14" spans="1:46" ht="17.45" customHeight="1">
      <c r="A14" s="54" t="s">
        <v>234</v>
      </c>
      <c r="B14" s="43">
        <v>0</v>
      </c>
      <c r="C14" s="43">
        <v>45530</v>
      </c>
      <c r="D14" s="43" t="s">
        <v>126</v>
      </c>
      <c r="E14" s="43" t="s">
        <v>235</v>
      </c>
      <c r="F14" s="43">
        <v>0</v>
      </c>
      <c r="G14" s="43">
        <v>0</v>
      </c>
      <c r="H14" s="43" t="s">
        <v>127</v>
      </c>
      <c r="M14" s="43" t="s">
        <v>128</v>
      </c>
      <c r="N14" s="43">
        <v>4258</v>
      </c>
      <c r="O14" s="100">
        <v>3968</v>
      </c>
      <c r="P14" s="43">
        <v>3660</v>
      </c>
      <c r="Q14" s="43" t="s">
        <v>185</v>
      </c>
      <c r="R14" s="43">
        <v>241</v>
      </c>
      <c r="S14" s="100">
        <v>3</v>
      </c>
      <c r="T14" s="100">
        <v>146</v>
      </c>
      <c r="U14" s="100">
        <v>11</v>
      </c>
      <c r="W14" s="43">
        <v>30</v>
      </c>
      <c r="X14" s="43">
        <v>51</v>
      </c>
      <c r="Z14" s="100">
        <v>81</v>
      </c>
      <c r="AA14" s="43">
        <v>0</v>
      </c>
      <c r="AE14" s="43">
        <v>0</v>
      </c>
      <c r="AQ14" s="38">
        <f t="shared" si="0"/>
        <v>45530</v>
      </c>
      <c r="AR14">
        <f>IFERROR(RANK(AT14,AT:AT,0)+COUNTIF($AT$1:AT13,AT14),"")</f>
        <v>8</v>
      </c>
      <c r="AT14" s="101">
        <f t="shared" si="1"/>
        <v>6.0735887096774195E-2</v>
      </c>
    </row>
    <row r="15" spans="1:46" ht="17.45" customHeight="1">
      <c r="A15" s="43" t="s">
        <v>236</v>
      </c>
      <c r="B15" s="43">
        <v>110</v>
      </c>
      <c r="C15" s="43">
        <v>45530</v>
      </c>
      <c r="D15" s="43" t="s">
        <v>126</v>
      </c>
      <c r="E15" s="43" t="s">
        <v>237</v>
      </c>
      <c r="F15" s="43">
        <v>0</v>
      </c>
      <c r="G15" s="43">
        <v>0</v>
      </c>
      <c r="H15" s="43" t="s">
        <v>129</v>
      </c>
      <c r="M15" s="43" t="s">
        <v>128</v>
      </c>
      <c r="N15" s="43">
        <v>30700</v>
      </c>
      <c r="O15" s="100">
        <v>17440</v>
      </c>
      <c r="P15" s="43">
        <v>1541</v>
      </c>
      <c r="Q15" s="43">
        <v>11092</v>
      </c>
      <c r="R15" s="43">
        <v>292</v>
      </c>
      <c r="S15" s="100">
        <v>0</v>
      </c>
      <c r="T15" s="100">
        <v>144</v>
      </c>
      <c r="U15" s="100">
        <v>2</v>
      </c>
      <c r="V15" s="43">
        <v>15</v>
      </c>
      <c r="W15" s="43">
        <v>84</v>
      </c>
      <c r="X15" s="43" t="s">
        <v>185</v>
      </c>
      <c r="Z15" s="100">
        <v>146</v>
      </c>
      <c r="AA15" s="43">
        <v>656</v>
      </c>
      <c r="AE15" s="43">
        <v>7814</v>
      </c>
      <c r="AF15" s="43">
        <v>1</v>
      </c>
      <c r="AI15" s="43">
        <v>212675.497</v>
      </c>
      <c r="AJ15" s="43">
        <v>7.2949999999999999</v>
      </c>
      <c r="AQ15" s="38">
        <f t="shared" si="0"/>
        <v>45530</v>
      </c>
      <c r="AR15">
        <f>IFERROR(RANK(AT15,AT:AT,0)+COUNTIF($AT$1:AT14,AT15),"")</f>
        <v>14</v>
      </c>
      <c r="AT15" s="101">
        <f t="shared" si="1"/>
        <v>1.6743119266055047E-2</v>
      </c>
    </row>
    <row r="16" spans="1:46" ht="17.45" customHeight="1">
      <c r="A16" s="43" t="s">
        <v>238</v>
      </c>
      <c r="B16" s="43">
        <v>0</v>
      </c>
      <c r="C16" s="43">
        <v>45533</v>
      </c>
      <c r="D16" s="43" t="s">
        <v>126</v>
      </c>
      <c r="E16" s="43" t="s">
        <v>239</v>
      </c>
      <c r="F16" s="43">
        <v>0</v>
      </c>
      <c r="G16" s="43">
        <v>1</v>
      </c>
      <c r="H16" s="43" t="s">
        <v>127</v>
      </c>
      <c r="M16" s="43" t="s">
        <v>128</v>
      </c>
      <c r="N16" s="43">
        <v>2214</v>
      </c>
      <c r="O16" s="100">
        <v>2079</v>
      </c>
      <c r="P16" s="43">
        <v>2079</v>
      </c>
      <c r="Q16" s="43" t="s">
        <v>185</v>
      </c>
      <c r="R16" s="43">
        <v>57</v>
      </c>
      <c r="S16" s="100">
        <v>0</v>
      </c>
      <c r="T16" s="100">
        <v>34</v>
      </c>
      <c r="U16" s="100">
        <v>4</v>
      </c>
      <c r="V16" s="43">
        <v>1</v>
      </c>
      <c r="W16" s="43">
        <v>15</v>
      </c>
      <c r="X16" s="43" t="s">
        <v>185</v>
      </c>
      <c r="Z16" s="100">
        <v>19</v>
      </c>
      <c r="AA16" s="43">
        <v>0</v>
      </c>
      <c r="AE16" s="43">
        <v>0</v>
      </c>
      <c r="AQ16" s="38">
        <f t="shared" si="0"/>
        <v>45533</v>
      </c>
      <c r="AR16">
        <f>IFERROR(RANK(AT16,AT:AT,0)+COUNTIF($AT$1:AT15,AT16),"")</f>
        <v>12</v>
      </c>
      <c r="AT16" s="101">
        <f t="shared" si="1"/>
        <v>2.7417027417027416E-2</v>
      </c>
    </row>
    <row r="17" spans="43:46" ht="17.45" customHeight="1">
      <c r="AQ17" s="38" t="str">
        <f t="shared" si="0"/>
        <v/>
      </c>
      <c r="AR17" t="str">
        <f>IFERROR(RANK(AT17,AT:AT,0)+COUNTIF($AT$1:AT16,AT17),"")</f>
        <v/>
      </c>
      <c r="AT17" s="101" t="str">
        <f t="shared" si="1"/>
        <v/>
      </c>
    </row>
    <row r="18" spans="43:46" ht="17.45" customHeight="1">
      <c r="AQ18" s="38" t="str">
        <f t="shared" si="0"/>
        <v/>
      </c>
      <c r="AR18" t="str">
        <f>IFERROR(RANK(AT18,AT:AT,0)+COUNTIF($AT$1:AT17,AT18),"")</f>
        <v/>
      </c>
      <c r="AT18" s="101" t="str">
        <f t="shared" si="1"/>
        <v/>
      </c>
    </row>
    <row r="19" spans="43:46" ht="17.45" customHeight="1">
      <c r="AQ19" s="38" t="str">
        <f t="shared" si="0"/>
        <v/>
      </c>
      <c r="AR19" t="str">
        <f>IFERROR(RANK(AT19,AT:AT,0)+COUNTIF($AT$1:AT18,AT19),"")</f>
        <v/>
      </c>
      <c r="AT19" s="101" t="str">
        <f t="shared" si="1"/>
        <v/>
      </c>
    </row>
    <row r="20" spans="43:46" ht="17.45" customHeight="1">
      <c r="AQ20" s="38" t="str">
        <f t="shared" si="0"/>
        <v/>
      </c>
      <c r="AR20" t="str">
        <f>IFERROR(RANK(AT20,AT:AT,0)+COUNTIF($AT$1:AT19,AT20),"")</f>
        <v/>
      </c>
      <c r="AT20" s="101" t="str">
        <f t="shared" si="1"/>
        <v/>
      </c>
    </row>
    <row r="21" spans="43:46" ht="17.45" customHeight="1">
      <c r="AQ21" s="38" t="str">
        <f t="shared" si="0"/>
        <v/>
      </c>
      <c r="AR21" t="str">
        <f>IFERROR(RANK(AT21,AT:AT,0)+COUNTIF($AT$1:AT20,AT21),"")</f>
        <v/>
      </c>
      <c r="AT21" s="101" t="str">
        <f t="shared" si="1"/>
        <v/>
      </c>
    </row>
    <row r="22" spans="43:46" ht="17.45" customHeight="1">
      <c r="AQ22" s="38" t="str">
        <f t="shared" si="0"/>
        <v/>
      </c>
      <c r="AR22" t="str">
        <f>IFERROR(RANK(AT22,AT:AT,0)+COUNTIF($AT$1:AT21,AT22),"")</f>
        <v/>
      </c>
      <c r="AT22" s="101" t="str">
        <f t="shared" si="1"/>
        <v/>
      </c>
    </row>
    <row r="23" spans="43:46" ht="17.45" customHeight="1">
      <c r="AQ23" s="38" t="str">
        <f t="shared" si="0"/>
        <v/>
      </c>
      <c r="AR23" t="str">
        <f>IFERROR(RANK(AT23,AT:AT,0)+COUNTIF($AT$1:AT22,AT23),"")</f>
        <v/>
      </c>
      <c r="AT23" s="101" t="str">
        <f t="shared" si="1"/>
        <v/>
      </c>
    </row>
    <row r="24" spans="43:46" ht="17.45" customHeight="1">
      <c r="AQ24" s="38" t="str">
        <f t="shared" si="0"/>
        <v/>
      </c>
      <c r="AR24" t="str">
        <f>IFERROR(RANK(AT24,AT:AT,0)+COUNTIF($AT$1:AT23,AT24),"")</f>
        <v/>
      </c>
      <c r="AT24" s="101" t="str">
        <f t="shared" si="1"/>
        <v/>
      </c>
    </row>
    <row r="25" spans="43:46" ht="17.45" customHeight="1">
      <c r="AQ25" s="38" t="str">
        <f t="shared" si="0"/>
        <v/>
      </c>
      <c r="AR25" t="str">
        <f>IFERROR(RANK(AT25,AT:AT,0)+COUNTIF($AT$1:AT24,AT25),"")</f>
        <v/>
      </c>
      <c r="AT25" s="101" t="str">
        <f t="shared" si="1"/>
        <v/>
      </c>
    </row>
    <row r="26" spans="43:46" ht="17.45" customHeight="1">
      <c r="AQ26" s="38" t="str">
        <f t="shared" si="0"/>
        <v/>
      </c>
      <c r="AR26" t="str">
        <f>IFERROR(RANK(AT26,AT:AT,0)+COUNTIF($AT$1:AT25,AT26),"")</f>
        <v/>
      </c>
      <c r="AT26" s="101" t="str">
        <f t="shared" si="1"/>
        <v/>
      </c>
    </row>
    <row r="27" spans="43:46" ht="17.45" customHeight="1">
      <c r="AQ27" s="38" t="str">
        <f t="shared" si="0"/>
        <v/>
      </c>
      <c r="AR27" t="str">
        <f>IFERROR(RANK(AT27,AT:AT,0)+COUNTIF($AT$1:AT26,AT27),"")</f>
        <v/>
      </c>
      <c r="AT27" s="101" t="str">
        <f t="shared" si="1"/>
        <v/>
      </c>
    </row>
    <row r="28" spans="43:46" ht="17.45" customHeight="1">
      <c r="AQ28" s="38" t="str">
        <f t="shared" si="0"/>
        <v/>
      </c>
      <c r="AR28" t="str">
        <f>IFERROR(RANK(AT28,AT:AT,0)+COUNTIF($AT$1:AT27,AT28),"")</f>
        <v/>
      </c>
      <c r="AT28" s="101" t="str">
        <f t="shared" si="1"/>
        <v/>
      </c>
    </row>
    <row r="29" spans="43:46" ht="17.45" customHeight="1">
      <c r="AQ29" s="38" t="str">
        <f t="shared" si="0"/>
        <v/>
      </c>
      <c r="AR29" t="str">
        <f>IFERROR(RANK(AT29,AT:AT,0)+COUNTIF($AT$1:AT28,AT29),"")</f>
        <v/>
      </c>
      <c r="AT29" s="101" t="str">
        <f t="shared" si="1"/>
        <v/>
      </c>
    </row>
    <row r="30" spans="43:46" ht="17.45" customHeight="1">
      <c r="AQ30" s="38" t="str">
        <f t="shared" si="0"/>
        <v/>
      </c>
      <c r="AR30" t="str">
        <f>IFERROR(RANK(AT30,AT:AT,0)+COUNTIF($AT$1:AT29,AT30),"")</f>
        <v/>
      </c>
      <c r="AT30" s="101" t="str">
        <f t="shared" si="1"/>
        <v/>
      </c>
    </row>
    <row r="31" spans="43:46" ht="17.45" customHeight="1">
      <c r="AQ31" s="38" t="str">
        <f t="shared" si="0"/>
        <v/>
      </c>
      <c r="AR31" t="str">
        <f>IFERROR(RANK(AT31,AT:AT,0)+COUNTIF($AT$1:AT30,AT31),"")</f>
        <v/>
      </c>
      <c r="AT31" s="101" t="str">
        <f t="shared" si="1"/>
        <v/>
      </c>
    </row>
    <row r="32" spans="43:46" ht="17.45" customHeight="1">
      <c r="AQ32" s="38" t="str">
        <f t="shared" si="0"/>
        <v/>
      </c>
      <c r="AR32" t="str">
        <f>IFERROR(RANK(AT32,AT:AT,0)+COUNTIF($AT$1:AT31,AT32),"")</f>
        <v/>
      </c>
      <c r="AT32" s="101" t="str">
        <f t="shared" si="1"/>
        <v/>
      </c>
    </row>
    <row r="33" spans="43:46" ht="17.45" customHeight="1">
      <c r="AQ33" s="38" t="str">
        <f t="shared" si="0"/>
        <v/>
      </c>
      <c r="AR33" t="str">
        <f>IFERROR(RANK(AT33,AT:AT,0)+COUNTIF($AT$1:AT32,AT33),"")</f>
        <v/>
      </c>
      <c r="AT33" s="101" t="str">
        <f t="shared" si="1"/>
        <v/>
      </c>
    </row>
    <row r="34" spans="43:46" ht="17.45" customHeight="1">
      <c r="AQ34" s="38" t="str">
        <f t="shared" si="0"/>
        <v/>
      </c>
      <c r="AR34" t="str">
        <f>IFERROR(RANK(AT34,AT:AT,0)+COUNTIF($AT$1:AT33,AT34),"")</f>
        <v/>
      </c>
      <c r="AT34" s="101" t="str">
        <f t="shared" si="1"/>
        <v/>
      </c>
    </row>
    <row r="35" spans="43:46" ht="17.45" customHeight="1">
      <c r="AQ35" s="38" t="str">
        <f t="shared" si="0"/>
        <v/>
      </c>
      <c r="AR35" t="str">
        <f>IFERROR(RANK(AT35,AT:AT,0)+COUNTIF($AT$1:AT34,AT35),"")</f>
        <v/>
      </c>
      <c r="AT35" s="101" t="str">
        <f t="shared" si="1"/>
        <v/>
      </c>
    </row>
    <row r="36" spans="43:46" ht="17.45" customHeight="1">
      <c r="AQ36" s="38" t="str">
        <f t="shared" si="0"/>
        <v/>
      </c>
      <c r="AR36" t="str">
        <f>IFERROR(RANK(AT36,AT:AT,0)+COUNTIF($AT$1:AT35,AT36),"")</f>
        <v/>
      </c>
      <c r="AT36" s="101" t="str">
        <f t="shared" si="1"/>
        <v/>
      </c>
    </row>
    <row r="37" spans="43:46" ht="17.45" customHeight="1">
      <c r="AQ37" s="38" t="str">
        <f t="shared" si="0"/>
        <v/>
      </c>
      <c r="AR37" t="str">
        <f>IFERROR(RANK(AT37,AT:AT,0)+COUNTIF($AT$1:AT36,AT37),"")</f>
        <v/>
      </c>
      <c r="AT37" s="101" t="str">
        <f t="shared" si="1"/>
        <v/>
      </c>
    </row>
    <row r="38" spans="43:46" ht="17.45" customHeight="1">
      <c r="AQ38" s="38" t="str">
        <f t="shared" si="0"/>
        <v/>
      </c>
      <c r="AR38" t="str">
        <f>IFERROR(RANK(AT38,AT:AT,0)+COUNTIF($AT$1:AT37,AT38),"")</f>
        <v/>
      </c>
      <c r="AT38" s="101" t="str">
        <f t="shared" si="1"/>
        <v/>
      </c>
    </row>
    <row r="39" spans="43:46" ht="17.45" customHeight="1">
      <c r="AQ39" s="38" t="str">
        <f t="shared" si="0"/>
        <v/>
      </c>
      <c r="AR39" t="str">
        <f>IFERROR(RANK(AT39,AT:AT,0)+COUNTIF($AT$1:AT38,AT39),"")</f>
        <v/>
      </c>
      <c r="AT39" s="101" t="str">
        <f t="shared" si="1"/>
        <v/>
      </c>
    </row>
    <row r="40" spans="43:46" ht="17.45" customHeight="1">
      <c r="AQ40" s="38" t="str">
        <f t="shared" si="0"/>
        <v/>
      </c>
      <c r="AR40" t="str">
        <f>IFERROR(RANK(AT40,AT:AT,0)+COUNTIF($AT$1:AT39,AT40),"")</f>
        <v/>
      </c>
      <c r="AT40" s="101" t="str">
        <f t="shared" si="1"/>
        <v/>
      </c>
    </row>
    <row r="41" spans="43:46" ht="17.45" customHeight="1">
      <c r="AQ41" s="38" t="str">
        <f t="shared" si="0"/>
        <v/>
      </c>
      <c r="AR41" t="str">
        <f>IFERROR(RANK(AT41,AT:AT,0)+COUNTIF($AT$1:AT40,AT41),"")</f>
        <v/>
      </c>
      <c r="AT41" s="101" t="str">
        <f t="shared" si="1"/>
        <v/>
      </c>
    </row>
    <row r="42" spans="43:46" ht="17.45" customHeight="1">
      <c r="AQ42" s="38" t="str">
        <f t="shared" si="0"/>
        <v/>
      </c>
      <c r="AR42" t="str">
        <f>IFERROR(RANK(AT42,AT:AT,0)+COUNTIF($AT$1:AT41,AT42),"")</f>
        <v/>
      </c>
      <c r="AT42" s="101" t="str">
        <f t="shared" si="1"/>
        <v/>
      </c>
    </row>
    <row r="43" spans="43:46" ht="17.45" customHeight="1">
      <c r="AQ43" s="38" t="str">
        <f t="shared" si="0"/>
        <v/>
      </c>
      <c r="AR43" t="str">
        <f>IFERROR(RANK(AT43,AT:AT,0)+COUNTIF($AT$1:AT42,AT43),"")</f>
        <v/>
      </c>
      <c r="AT43" s="101" t="str">
        <f t="shared" si="1"/>
        <v/>
      </c>
    </row>
  </sheetData>
  <sheetProtection selectLockedCells="1"/>
  <phoneticPr fontId="1" type="noConversion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Z38"/>
  <sheetViews>
    <sheetView workbookViewId="0">
      <selection activeCell="J38" sqref="J38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69" t="s">
        <v>162</v>
      </c>
      <c r="B1" s="70" t="s">
        <v>145</v>
      </c>
      <c r="C1" s="71" t="s">
        <v>146</v>
      </c>
      <c r="D1" s="70" t="s">
        <v>147</v>
      </c>
      <c r="E1" s="72" t="s">
        <v>150</v>
      </c>
      <c r="F1" s="73"/>
      <c r="G1" s="74" t="s">
        <v>148</v>
      </c>
      <c r="H1" s="71" t="s">
        <v>149</v>
      </c>
      <c r="I1" s="65"/>
      <c r="J1" s="75" t="s">
        <v>134</v>
      </c>
      <c r="K1" s="76" t="s">
        <v>52</v>
      </c>
      <c r="L1" s="76" t="s">
        <v>135</v>
      </c>
      <c r="M1" s="77" t="s">
        <v>136</v>
      </c>
      <c r="N1" s="70" t="s">
        <v>151</v>
      </c>
      <c r="O1" s="78" t="s">
        <v>152</v>
      </c>
      <c r="P1" s="79" t="s">
        <v>137</v>
      </c>
      <c r="Q1" s="70" t="s">
        <v>153</v>
      </c>
      <c r="R1" s="71" t="s">
        <v>152</v>
      </c>
      <c r="S1" s="70" t="s">
        <v>154</v>
      </c>
      <c r="T1" s="71" t="s">
        <v>155</v>
      </c>
      <c r="U1" s="80" t="s">
        <v>158</v>
      </c>
      <c r="V1" s="79" t="s">
        <v>159</v>
      </c>
      <c r="W1" s="79" t="s">
        <v>160</v>
      </c>
      <c r="X1" s="81" t="s">
        <v>161</v>
      </c>
    </row>
    <row r="2" spans="1:26">
      <c r="A2" s="69" t="s">
        <v>94</v>
      </c>
      <c r="B2" s="82" t="s">
        <v>138</v>
      </c>
      <c r="C2" s="82" t="s">
        <v>139</v>
      </c>
      <c r="D2" s="82" t="s">
        <v>138</v>
      </c>
      <c r="E2" s="82" t="s">
        <v>139</v>
      </c>
      <c r="F2" s="82" t="s">
        <v>138</v>
      </c>
      <c r="G2" s="82" t="s">
        <v>140</v>
      </c>
      <c r="H2" s="82" t="s">
        <v>139</v>
      </c>
      <c r="I2" s="83" t="s">
        <v>141</v>
      </c>
      <c r="J2" s="84"/>
      <c r="K2" s="85" t="s">
        <v>156</v>
      </c>
      <c r="L2" s="86" t="s">
        <v>157</v>
      </c>
      <c r="M2" s="66"/>
      <c r="N2" s="69" t="s">
        <v>138</v>
      </c>
      <c r="O2" s="82" t="s">
        <v>139</v>
      </c>
      <c r="P2" s="87" t="s">
        <v>138</v>
      </c>
      <c r="Q2" s="82" t="s">
        <v>138</v>
      </c>
      <c r="R2" s="82" t="s">
        <v>139</v>
      </c>
      <c r="S2" s="82" t="s">
        <v>138</v>
      </c>
      <c r="T2" s="83" t="s">
        <v>139</v>
      </c>
      <c r="U2" s="88" t="s">
        <v>142</v>
      </c>
      <c r="V2" s="82" t="s">
        <v>50</v>
      </c>
      <c r="W2" s="82" t="s">
        <v>143</v>
      </c>
      <c r="X2" s="89" t="s">
        <v>144</v>
      </c>
    </row>
    <row r="3" spans="1:26">
      <c r="A3" s="90">
        <v>44927</v>
      </c>
      <c r="B3" s="67"/>
      <c r="C3" s="67"/>
      <c r="D3" s="91">
        <v>15</v>
      </c>
      <c r="E3" s="91">
        <v>13</v>
      </c>
      <c r="F3" s="92">
        <v>152110</v>
      </c>
      <c r="G3" s="92">
        <v>16380</v>
      </c>
      <c r="H3" s="92">
        <v>230550</v>
      </c>
      <c r="I3" s="92">
        <v>11026</v>
      </c>
      <c r="J3" s="93">
        <v>348483</v>
      </c>
      <c r="K3" s="93">
        <v>925274</v>
      </c>
      <c r="L3" s="94">
        <v>4736499</v>
      </c>
      <c r="M3" s="94">
        <v>511.9</v>
      </c>
      <c r="N3" s="92">
        <v>1732</v>
      </c>
      <c r="O3" s="67" t="s">
        <v>173</v>
      </c>
      <c r="P3" s="92">
        <v>1688</v>
      </c>
      <c r="Q3" s="91">
        <v>449</v>
      </c>
      <c r="R3" s="67"/>
      <c r="S3" s="92">
        <v>1421</v>
      </c>
      <c r="T3" s="95">
        <v>14238</v>
      </c>
      <c r="U3" s="96">
        <v>5991</v>
      </c>
      <c r="V3" s="92">
        <v>1232</v>
      </c>
      <c r="W3" s="67" t="s">
        <v>173</v>
      </c>
      <c r="X3" s="97">
        <v>3892007</v>
      </c>
    </row>
    <row r="4" spans="1:26">
      <c r="A4" s="90">
        <v>44958</v>
      </c>
      <c r="B4" s="67"/>
      <c r="C4" s="67"/>
      <c r="D4" s="91">
        <v>7</v>
      </c>
      <c r="E4" s="91">
        <v>5</v>
      </c>
      <c r="F4" s="92">
        <v>127121</v>
      </c>
      <c r="G4" s="92">
        <v>18091</v>
      </c>
      <c r="H4" s="92">
        <v>75271</v>
      </c>
      <c r="I4" s="92">
        <v>8690</v>
      </c>
      <c r="J4" s="92">
        <v>171435</v>
      </c>
      <c r="K4" s="92">
        <v>362665</v>
      </c>
      <c r="L4" s="98">
        <v>2626714</v>
      </c>
      <c r="M4" s="98">
        <v>724.28</v>
      </c>
      <c r="N4" s="91">
        <v>446</v>
      </c>
      <c r="O4" s="67" t="s">
        <v>173</v>
      </c>
      <c r="P4" s="91">
        <v>420</v>
      </c>
      <c r="Q4" s="91">
        <v>448</v>
      </c>
      <c r="R4" s="67"/>
      <c r="S4" s="92">
        <v>1800</v>
      </c>
      <c r="T4" s="95">
        <v>8154</v>
      </c>
      <c r="U4" s="96">
        <v>4021</v>
      </c>
      <c r="V4" s="91">
        <v>821</v>
      </c>
      <c r="W4" s="67" t="s">
        <v>173</v>
      </c>
      <c r="X4" s="97">
        <v>2518197</v>
      </c>
    </row>
    <row r="5" spans="1:26">
      <c r="A5" s="90">
        <v>44986</v>
      </c>
      <c r="B5" s="67"/>
      <c r="C5" s="67"/>
      <c r="D5" s="91">
        <v>20</v>
      </c>
      <c r="E5" s="91">
        <v>12</v>
      </c>
      <c r="F5" s="92">
        <v>175131</v>
      </c>
      <c r="G5" s="92">
        <v>20054</v>
      </c>
      <c r="H5" s="92">
        <v>168379</v>
      </c>
      <c r="I5" s="92">
        <v>7292</v>
      </c>
      <c r="J5" s="92">
        <v>309696</v>
      </c>
      <c r="K5" s="92">
        <v>689249</v>
      </c>
      <c r="L5" s="98">
        <v>4477005</v>
      </c>
      <c r="M5" s="98">
        <v>649.54999999999995</v>
      </c>
      <c r="N5" s="91">
        <v>639</v>
      </c>
      <c r="O5" s="91">
        <v>71</v>
      </c>
      <c r="P5" s="91">
        <v>560</v>
      </c>
      <c r="Q5" s="91">
        <v>419</v>
      </c>
      <c r="R5" s="91">
        <v>638</v>
      </c>
      <c r="S5" s="92">
        <v>3744</v>
      </c>
      <c r="T5" s="95">
        <v>3300</v>
      </c>
      <c r="U5" s="96">
        <v>11971</v>
      </c>
      <c r="V5" s="92">
        <v>2525</v>
      </c>
      <c r="W5" s="67" t="s">
        <v>173</v>
      </c>
      <c r="X5" s="97">
        <v>3530907</v>
      </c>
      <c r="Z5" t="s">
        <v>242</v>
      </c>
    </row>
    <row r="6" spans="1:26">
      <c r="A6" s="90">
        <v>45017</v>
      </c>
      <c r="B6" s="67"/>
      <c r="C6" s="67"/>
      <c r="D6" s="91">
        <v>11</v>
      </c>
      <c r="E6" s="91">
        <v>8</v>
      </c>
      <c r="F6" s="92">
        <v>165549</v>
      </c>
      <c r="G6" s="92">
        <v>18081</v>
      </c>
      <c r="H6" s="92">
        <v>397401</v>
      </c>
      <c r="I6" s="92">
        <v>4315</v>
      </c>
      <c r="J6" s="92">
        <v>526985</v>
      </c>
      <c r="K6" s="92">
        <v>1464126</v>
      </c>
      <c r="L6" s="98">
        <v>4722657</v>
      </c>
      <c r="M6" s="98">
        <v>322.56</v>
      </c>
      <c r="N6" s="91">
        <v>876</v>
      </c>
      <c r="O6" s="91">
        <v>131</v>
      </c>
      <c r="P6" s="91">
        <v>779</v>
      </c>
      <c r="Q6" s="91">
        <v>363</v>
      </c>
      <c r="R6" s="92">
        <v>1214</v>
      </c>
      <c r="S6" s="92">
        <v>2409</v>
      </c>
      <c r="T6" s="95">
        <v>2809</v>
      </c>
      <c r="U6" s="96">
        <v>7263</v>
      </c>
      <c r="V6" s="92">
        <v>3178</v>
      </c>
      <c r="W6" s="67" t="s">
        <v>173</v>
      </c>
      <c r="X6" s="97">
        <v>3801239</v>
      </c>
      <c r="Z6" t="s">
        <v>168</v>
      </c>
    </row>
    <row r="7" spans="1:26">
      <c r="A7" s="90">
        <v>45047</v>
      </c>
      <c r="B7" s="67"/>
      <c r="C7" s="67"/>
      <c r="D7" s="91">
        <v>9</v>
      </c>
      <c r="E7" s="91">
        <v>5</v>
      </c>
      <c r="F7" s="92">
        <v>113184</v>
      </c>
      <c r="G7" s="92">
        <v>25371</v>
      </c>
      <c r="H7" s="92">
        <v>218433</v>
      </c>
      <c r="I7" s="92">
        <v>9331</v>
      </c>
      <c r="J7" s="92">
        <v>307073</v>
      </c>
      <c r="K7" s="92">
        <v>691669</v>
      </c>
      <c r="L7" s="98">
        <v>1764617</v>
      </c>
      <c r="M7" s="98">
        <v>255.12</v>
      </c>
      <c r="N7" s="92">
        <v>3187</v>
      </c>
      <c r="O7" s="92">
        <v>9238</v>
      </c>
      <c r="P7" s="92">
        <v>3126</v>
      </c>
      <c r="Q7" s="91">
        <v>797</v>
      </c>
      <c r="R7" s="92">
        <v>3287</v>
      </c>
      <c r="S7" s="92">
        <v>8237</v>
      </c>
      <c r="T7" s="95">
        <v>20199</v>
      </c>
      <c r="U7" s="96">
        <v>5633</v>
      </c>
      <c r="V7" s="92">
        <v>2384</v>
      </c>
      <c r="W7" s="67" t="s">
        <v>173</v>
      </c>
      <c r="X7" s="97">
        <v>1364618</v>
      </c>
      <c r="Z7" t="s">
        <v>241</v>
      </c>
    </row>
    <row r="8" spans="1:26">
      <c r="A8" s="90">
        <v>45078</v>
      </c>
      <c r="B8" s="67"/>
      <c r="C8" s="67"/>
      <c r="D8" s="91">
        <v>9</v>
      </c>
      <c r="E8" s="91">
        <v>5</v>
      </c>
      <c r="F8" s="92">
        <v>150402</v>
      </c>
      <c r="G8" s="92">
        <v>55561</v>
      </c>
      <c r="H8" s="92">
        <v>124184</v>
      </c>
      <c r="I8" s="92">
        <v>4694</v>
      </c>
      <c r="J8" s="92">
        <v>209471</v>
      </c>
      <c r="K8" s="92">
        <v>300596</v>
      </c>
      <c r="L8" s="98">
        <v>1264256</v>
      </c>
      <c r="M8" s="98">
        <v>420.58</v>
      </c>
      <c r="N8" s="92">
        <v>30876</v>
      </c>
      <c r="O8" s="91">
        <v>469</v>
      </c>
      <c r="P8" s="92">
        <v>27407</v>
      </c>
      <c r="Q8" s="92">
        <v>7131</v>
      </c>
      <c r="R8" s="92">
        <v>1976</v>
      </c>
      <c r="S8" s="92">
        <v>217271</v>
      </c>
      <c r="T8" s="95">
        <v>2564</v>
      </c>
      <c r="U8" s="96">
        <v>9967</v>
      </c>
      <c r="V8" s="92">
        <v>1079</v>
      </c>
      <c r="W8" s="67" t="s">
        <v>173</v>
      </c>
      <c r="X8" s="97">
        <v>653261</v>
      </c>
    </row>
    <row r="9" spans="1:26">
      <c r="A9" s="90">
        <v>45108</v>
      </c>
      <c r="B9" s="67"/>
      <c r="C9" s="67"/>
      <c r="D9" s="91">
        <v>15</v>
      </c>
      <c r="E9" s="91">
        <v>14</v>
      </c>
      <c r="F9" s="92">
        <v>393143</v>
      </c>
      <c r="G9" s="92">
        <v>27247</v>
      </c>
      <c r="H9" s="92">
        <v>337085</v>
      </c>
      <c r="I9" s="92">
        <v>6344</v>
      </c>
      <c r="J9" s="92">
        <v>702604</v>
      </c>
      <c r="K9" s="92">
        <v>1663354</v>
      </c>
      <c r="L9" s="98">
        <v>6317775</v>
      </c>
      <c r="M9" s="98">
        <v>379.82</v>
      </c>
      <c r="N9" s="91">
        <v>355</v>
      </c>
      <c r="O9" s="91">
        <v>648</v>
      </c>
      <c r="P9" s="91">
        <v>276</v>
      </c>
      <c r="Q9" s="91">
        <v>408</v>
      </c>
      <c r="R9" s="92">
        <v>1232</v>
      </c>
      <c r="S9" s="92">
        <v>11561</v>
      </c>
      <c r="T9" s="95">
        <v>3902</v>
      </c>
      <c r="U9" s="96">
        <v>6344</v>
      </c>
      <c r="V9" s="92">
        <v>3524</v>
      </c>
      <c r="W9" s="67" t="s">
        <v>173</v>
      </c>
      <c r="X9" s="97">
        <v>3231364</v>
      </c>
    </row>
    <row r="10" spans="1:26">
      <c r="A10" s="90">
        <v>45139</v>
      </c>
      <c r="B10" s="67"/>
      <c r="C10" s="67"/>
      <c r="D10" s="91">
        <v>15</v>
      </c>
      <c r="E10" s="91">
        <v>17</v>
      </c>
      <c r="F10" s="92">
        <v>496814</v>
      </c>
      <c r="G10" s="92">
        <v>30404</v>
      </c>
      <c r="H10" s="92">
        <v>225393</v>
      </c>
      <c r="I10" s="92">
        <v>5858</v>
      </c>
      <c r="J10" s="92">
        <v>684694</v>
      </c>
      <c r="K10" s="92">
        <v>1386900</v>
      </c>
      <c r="L10" s="98">
        <v>6580678</v>
      </c>
      <c r="M10" s="98">
        <v>474.49</v>
      </c>
      <c r="N10" s="91">
        <v>227</v>
      </c>
      <c r="O10" s="91">
        <v>340</v>
      </c>
      <c r="P10" s="91">
        <v>152</v>
      </c>
      <c r="Q10" s="91">
        <v>247</v>
      </c>
      <c r="R10" s="92">
        <v>1012</v>
      </c>
      <c r="S10" s="92">
        <v>8354</v>
      </c>
      <c r="T10" s="95">
        <v>4267</v>
      </c>
      <c r="U10" s="96">
        <v>6112</v>
      </c>
      <c r="V10" s="92">
        <v>5948</v>
      </c>
      <c r="W10" s="67" t="s">
        <v>173</v>
      </c>
      <c r="X10" s="68"/>
    </row>
    <row r="11" spans="1:26">
      <c r="A11" s="90">
        <v>45170</v>
      </c>
      <c r="B11" s="67"/>
      <c r="C11" s="67"/>
      <c r="D11" s="91">
        <v>19</v>
      </c>
      <c r="E11" s="91">
        <v>14</v>
      </c>
      <c r="F11" s="92">
        <v>552584</v>
      </c>
      <c r="G11" s="92">
        <v>29159</v>
      </c>
      <c r="H11" s="92">
        <v>1575986</v>
      </c>
      <c r="I11" s="92">
        <v>6384</v>
      </c>
      <c r="J11" s="92">
        <v>422064</v>
      </c>
      <c r="K11" s="92">
        <v>894675</v>
      </c>
      <c r="L11" s="98">
        <v>5549772</v>
      </c>
      <c r="M11" s="98">
        <v>620.30999999999995</v>
      </c>
      <c r="N11" s="91">
        <v>122</v>
      </c>
      <c r="O11" s="91">
        <v>823</v>
      </c>
      <c r="P11" s="91">
        <v>67</v>
      </c>
      <c r="Q11" s="91">
        <v>122</v>
      </c>
      <c r="R11" s="91">
        <v>728</v>
      </c>
      <c r="S11" s="92">
        <v>17455</v>
      </c>
      <c r="T11" s="95">
        <v>7824</v>
      </c>
      <c r="U11" s="96">
        <v>8677</v>
      </c>
      <c r="V11" s="92">
        <v>4125</v>
      </c>
      <c r="W11" s="67" t="s">
        <v>173</v>
      </c>
      <c r="X11" s="97">
        <v>2616541</v>
      </c>
    </row>
    <row r="12" spans="1:26">
      <c r="A12" s="90">
        <v>45200</v>
      </c>
      <c r="B12" s="67"/>
      <c r="C12" s="67"/>
      <c r="D12" s="91">
        <v>15</v>
      </c>
      <c r="E12" s="91">
        <v>15</v>
      </c>
      <c r="F12" s="92">
        <v>595990</v>
      </c>
      <c r="G12" s="92">
        <v>24418</v>
      </c>
      <c r="H12" s="92">
        <v>2154607</v>
      </c>
      <c r="I12" s="92">
        <v>5981</v>
      </c>
      <c r="J12" s="92">
        <v>1384096</v>
      </c>
      <c r="K12" s="92">
        <v>2816215</v>
      </c>
      <c r="L12" s="98">
        <v>12093254</v>
      </c>
      <c r="M12" s="98">
        <v>429.42</v>
      </c>
      <c r="N12" s="91">
        <v>152</v>
      </c>
      <c r="O12" s="91">
        <v>525</v>
      </c>
      <c r="P12" s="91">
        <v>92</v>
      </c>
      <c r="Q12" s="91">
        <v>224</v>
      </c>
      <c r="R12" s="91">
        <v>684</v>
      </c>
      <c r="S12" s="92">
        <v>28573</v>
      </c>
      <c r="T12" s="95">
        <v>10581</v>
      </c>
      <c r="U12" s="96">
        <v>13547</v>
      </c>
      <c r="V12" s="92">
        <v>6164</v>
      </c>
      <c r="W12" s="67" t="s">
        <v>173</v>
      </c>
      <c r="X12" s="68"/>
    </row>
    <row r="13" spans="1:26">
      <c r="A13" s="90">
        <v>45231</v>
      </c>
      <c r="B13" s="67"/>
      <c r="C13" s="67"/>
      <c r="D13" s="91">
        <v>17</v>
      </c>
      <c r="E13" s="91">
        <v>13</v>
      </c>
      <c r="F13" s="92">
        <v>411639</v>
      </c>
      <c r="G13" s="92">
        <v>30876</v>
      </c>
      <c r="H13" s="92">
        <v>707256</v>
      </c>
      <c r="I13" s="92">
        <v>27424</v>
      </c>
      <c r="J13" s="92">
        <v>1083571</v>
      </c>
      <c r="K13" s="92">
        <v>2189040</v>
      </c>
      <c r="L13" s="98">
        <v>10895902</v>
      </c>
      <c r="M13" s="98">
        <v>497.75</v>
      </c>
      <c r="N13" s="91">
        <v>215</v>
      </c>
      <c r="O13" s="91">
        <v>720</v>
      </c>
      <c r="P13" s="91">
        <v>83</v>
      </c>
      <c r="Q13" s="91">
        <v>526</v>
      </c>
      <c r="R13" s="91">
        <v>537</v>
      </c>
      <c r="S13" s="92">
        <v>21317</v>
      </c>
      <c r="T13" s="95">
        <v>7018</v>
      </c>
      <c r="U13" s="96">
        <v>13458</v>
      </c>
      <c r="V13" s="92">
        <v>5954</v>
      </c>
      <c r="W13" s="67" t="s">
        <v>173</v>
      </c>
      <c r="X13" s="68"/>
    </row>
    <row r="14" spans="1:26">
      <c r="A14" s="90">
        <v>45261</v>
      </c>
      <c r="B14" s="67"/>
      <c r="C14" s="67"/>
      <c r="D14" s="91">
        <v>19</v>
      </c>
      <c r="E14" s="91">
        <v>15</v>
      </c>
      <c r="F14" s="92">
        <v>326081</v>
      </c>
      <c r="G14" s="92">
        <v>30752</v>
      </c>
      <c r="H14" s="92">
        <v>389586</v>
      </c>
      <c r="I14" s="92">
        <v>4775</v>
      </c>
      <c r="J14" s="92">
        <v>638448</v>
      </c>
      <c r="K14" s="92">
        <v>1246594</v>
      </c>
      <c r="L14" s="98">
        <v>4828981</v>
      </c>
      <c r="M14" s="98">
        <v>387.37</v>
      </c>
      <c r="N14" s="91">
        <v>77</v>
      </c>
      <c r="O14" s="91">
        <v>205</v>
      </c>
      <c r="P14" s="91">
        <v>43</v>
      </c>
      <c r="Q14" s="91">
        <v>525</v>
      </c>
      <c r="R14" s="91">
        <v>485</v>
      </c>
      <c r="S14" s="92">
        <v>13090</v>
      </c>
      <c r="T14" s="95">
        <v>4002</v>
      </c>
      <c r="U14" s="96">
        <v>10333</v>
      </c>
      <c r="V14" s="92">
        <v>4297</v>
      </c>
      <c r="W14" s="67" t="s">
        <v>173</v>
      </c>
      <c r="X14" s="68"/>
    </row>
    <row r="15" spans="1:26">
      <c r="A15" s="90">
        <v>45292</v>
      </c>
      <c r="B15" s="67"/>
      <c r="C15" s="67"/>
      <c r="D15" s="91">
        <v>21</v>
      </c>
      <c r="E15" s="91">
        <v>16</v>
      </c>
      <c r="F15" s="92">
        <v>399275</v>
      </c>
      <c r="G15" s="92">
        <v>39650</v>
      </c>
      <c r="H15" s="92">
        <v>339172</v>
      </c>
      <c r="I15" s="92">
        <v>4578</v>
      </c>
      <c r="J15" s="92">
        <v>760799</v>
      </c>
      <c r="K15" s="92">
        <v>1866632</v>
      </c>
      <c r="L15" s="98">
        <v>7214062</v>
      </c>
      <c r="M15" s="98">
        <v>386.47</v>
      </c>
      <c r="N15" s="91">
        <v>133</v>
      </c>
      <c r="O15" s="91">
        <v>184</v>
      </c>
      <c r="P15" s="91">
        <v>76</v>
      </c>
      <c r="Q15" s="91">
        <v>480</v>
      </c>
      <c r="R15" s="91">
        <v>458</v>
      </c>
      <c r="S15" s="92">
        <v>24530</v>
      </c>
      <c r="T15" s="95">
        <v>2952</v>
      </c>
      <c r="U15" s="96">
        <v>15303</v>
      </c>
      <c r="V15" s="92">
        <v>8588</v>
      </c>
      <c r="W15" s="92">
        <v>51476</v>
      </c>
      <c r="X15" s="68"/>
    </row>
    <row r="16" spans="1:26">
      <c r="A16" s="90">
        <v>45323</v>
      </c>
      <c r="B16" s="67"/>
      <c r="C16" s="67"/>
      <c r="D16" s="91">
        <v>12</v>
      </c>
      <c r="E16" s="91">
        <v>10</v>
      </c>
      <c r="F16" s="92">
        <v>173174</v>
      </c>
      <c r="G16" s="92">
        <v>24813</v>
      </c>
      <c r="H16" s="92">
        <v>157953</v>
      </c>
      <c r="I16" s="92">
        <v>3560</v>
      </c>
      <c r="J16" s="92">
        <v>346719</v>
      </c>
      <c r="K16" s="92">
        <v>659362</v>
      </c>
      <c r="L16" s="98">
        <v>2746107</v>
      </c>
      <c r="M16" s="98">
        <v>416.48</v>
      </c>
      <c r="N16" s="91">
        <v>74</v>
      </c>
      <c r="O16" s="91">
        <v>156</v>
      </c>
      <c r="P16" s="91">
        <v>0</v>
      </c>
      <c r="Q16" s="91">
        <v>480</v>
      </c>
      <c r="R16" s="91">
        <v>429</v>
      </c>
      <c r="S16" s="92">
        <v>12226</v>
      </c>
      <c r="T16" s="95">
        <v>2601</v>
      </c>
      <c r="U16" s="96">
        <v>6807</v>
      </c>
      <c r="V16" s="92">
        <v>3033</v>
      </c>
      <c r="W16" s="92">
        <v>18322</v>
      </c>
      <c r="X16" s="68"/>
    </row>
    <row r="17" spans="1:24">
      <c r="A17" s="90" t="s">
        <v>171</v>
      </c>
      <c r="B17" s="67"/>
      <c r="C17" s="67"/>
      <c r="D17" s="91">
        <v>13</v>
      </c>
      <c r="E17" s="91">
        <v>11</v>
      </c>
      <c r="F17" s="92">
        <v>199557</v>
      </c>
      <c r="G17" s="92">
        <v>23786</v>
      </c>
      <c r="H17" s="92">
        <v>151612</v>
      </c>
      <c r="I17" s="92">
        <v>6192</v>
      </c>
      <c r="J17" s="92">
        <v>297746</v>
      </c>
      <c r="K17" s="92">
        <v>551444</v>
      </c>
      <c r="L17" s="98">
        <v>2288078</v>
      </c>
      <c r="M17" s="98">
        <v>414.92</v>
      </c>
      <c r="N17" s="91">
        <v>100</v>
      </c>
      <c r="O17" s="91">
        <v>1071</v>
      </c>
      <c r="P17" s="91">
        <v>0</v>
      </c>
      <c r="Q17" s="91">
        <v>454</v>
      </c>
      <c r="R17" s="91">
        <v>439</v>
      </c>
      <c r="S17" s="92">
        <v>10145</v>
      </c>
      <c r="T17" s="95">
        <v>4353</v>
      </c>
      <c r="U17" s="96">
        <v>9707</v>
      </c>
      <c r="V17" s="92">
        <v>2306</v>
      </c>
      <c r="W17" s="92">
        <v>11463</v>
      </c>
      <c r="X17" s="99"/>
    </row>
    <row r="18" spans="1:24">
      <c r="A18" s="90" t="s">
        <v>184</v>
      </c>
      <c r="B18" s="67"/>
      <c r="C18" s="67"/>
      <c r="D18" s="91">
        <v>17</v>
      </c>
      <c r="E18" s="91">
        <v>11</v>
      </c>
      <c r="F18" s="92">
        <v>294501</v>
      </c>
      <c r="G18" s="92">
        <v>22573</v>
      </c>
      <c r="H18" s="92">
        <v>126532</v>
      </c>
      <c r="I18" s="92">
        <v>6235</v>
      </c>
      <c r="J18" s="92">
        <v>361659</v>
      </c>
      <c r="K18" s="92">
        <v>729804</v>
      </c>
      <c r="L18" s="98">
        <v>2466425</v>
      </c>
      <c r="M18" s="98">
        <v>337.96</v>
      </c>
      <c r="N18" s="91">
        <v>340</v>
      </c>
      <c r="O18" s="91">
        <v>353</v>
      </c>
      <c r="P18" s="91">
        <v>0</v>
      </c>
      <c r="Q18" s="91">
        <v>436</v>
      </c>
      <c r="R18" s="91">
        <v>468</v>
      </c>
      <c r="S18" s="92">
        <v>15870</v>
      </c>
      <c r="T18" s="95">
        <v>3501</v>
      </c>
      <c r="U18" s="96">
        <v>8585</v>
      </c>
      <c r="V18" s="92">
        <v>5606</v>
      </c>
      <c r="W18" s="92">
        <v>19459</v>
      </c>
      <c r="X18" s="99"/>
    </row>
    <row r="19" spans="1:24">
      <c r="A19" s="90" t="s">
        <v>200</v>
      </c>
      <c r="B19" s="67"/>
      <c r="C19" s="67"/>
      <c r="D19" s="91">
        <v>15</v>
      </c>
      <c r="E19" s="91">
        <v>11</v>
      </c>
      <c r="F19" s="92">
        <v>303924</v>
      </c>
      <c r="G19" s="92">
        <v>38896</v>
      </c>
      <c r="H19" s="92">
        <v>95424</v>
      </c>
      <c r="I19" s="92">
        <v>6613</v>
      </c>
      <c r="J19" s="92">
        <v>276069</v>
      </c>
      <c r="K19" s="92">
        <v>561953</v>
      </c>
      <c r="L19" s="98">
        <v>2516381</v>
      </c>
      <c r="M19" s="98">
        <v>447.79</v>
      </c>
      <c r="N19" s="91">
        <v>419</v>
      </c>
      <c r="O19" s="91">
        <v>753</v>
      </c>
      <c r="P19" s="91">
        <v>0</v>
      </c>
      <c r="Q19" s="91">
        <v>465</v>
      </c>
      <c r="R19" s="91">
        <v>367</v>
      </c>
      <c r="S19" s="92">
        <v>14845</v>
      </c>
      <c r="T19" s="95">
        <v>4021</v>
      </c>
      <c r="U19" s="96">
        <v>12390</v>
      </c>
      <c r="V19" s="92">
        <v>3775</v>
      </c>
      <c r="W19" s="92">
        <v>20686</v>
      </c>
      <c r="X19" s="60"/>
    </row>
    <row r="20" spans="1:24">
      <c r="A20" s="90" t="s">
        <v>203</v>
      </c>
      <c r="B20" s="67"/>
      <c r="C20" s="67"/>
      <c r="D20" s="91">
        <v>12</v>
      </c>
      <c r="E20" s="91">
        <v>9</v>
      </c>
      <c r="F20" s="92">
        <v>279861</v>
      </c>
      <c r="G20" s="92">
        <v>23633</v>
      </c>
      <c r="H20" s="92">
        <v>165188</v>
      </c>
      <c r="I20" s="92">
        <v>3975</v>
      </c>
      <c r="J20" s="92">
        <v>334450</v>
      </c>
      <c r="K20" s="92">
        <v>661645</v>
      </c>
      <c r="L20" s="98">
        <v>2859326</v>
      </c>
      <c r="M20" s="98">
        <v>432.15</v>
      </c>
      <c r="N20" s="91">
        <v>408</v>
      </c>
      <c r="O20" s="91">
        <v>337</v>
      </c>
      <c r="P20" s="91">
        <v>0</v>
      </c>
      <c r="Q20" s="91">
        <v>366</v>
      </c>
      <c r="R20" s="91">
        <v>379</v>
      </c>
      <c r="S20" s="92">
        <v>13587</v>
      </c>
      <c r="T20" s="95">
        <v>4256</v>
      </c>
      <c r="U20" s="96">
        <v>7026</v>
      </c>
      <c r="V20" s="92">
        <v>4070</v>
      </c>
      <c r="W20" s="92">
        <v>45105</v>
      </c>
      <c r="X20" s="60"/>
    </row>
    <row r="21" spans="1:24">
      <c r="A21" s="90" t="s">
        <v>207</v>
      </c>
      <c r="B21" s="67"/>
      <c r="C21" s="67"/>
      <c r="D21" s="91">
        <v>20</v>
      </c>
      <c r="E21" s="91">
        <v>15</v>
      </c>
      <c r="F21" s="92">
        <v>218342</v>
      </c>
      <c r="G21" s="92">
        <v>17921</v>
      </c>
      <c r="H21" s="92">
        <v>105185</v>
      </c>
      <c r="I21" s="92">
        <v>3867</v>
      </c>
      <c r="J21" s="92">
        <v>207680</v>
      </c>
      <c r="K21" s="92">
        <v>494226</v>
      </c>
      <c r="L21" s="98">
        <v>2672361</v>
      </c>
      <c r="M21" s="98">
        <v>540.72</v>
      </c>
      <c r="N21" s="91">
        <v>423</v>
      </c>
      <c r="O21" s="91">
        <v>505</v>
      </c>
      <c r="P21" s="91">
        <v>0</v>
      </c>
      <c r="Q21" s="91">
        <v>434</v>
      </c>
      <c r="R21" s="91">
        <v>416</v>
      </c>
      <c r="S21" s="92">
        <v>12743</v>
      </c>
      <c r="T21" s="95">
        <v>4014</v>
      </c>
      <c r="U21" s="96">
        <v>9324</v>
      </c>
      <c r="V21" s="92" t="s">
        <v>185</v>
      </c>
      <c r="W21" s="92">
        <v>18900</v>
      </c>
      <c r="X21" s="60"/>
    </row>
    <row r="22" spans="1:24">
      <c r="A22" s="90" t="s">
        <v>240</v>
      </c>
      <c r="B22" s="67"/>
      <c r="C22" s="67"/>
      <c r="D22" s="91">
        <v>15</v>
      </c>
      <c r="E22" s="91">
        <v>13</v>
      </c>
      <c r="F22" s="92">
        <v>189852</v>
      </c>
      <c r="G22" s="92">
        <v>19564</v>
      </c>
      <c r="H22" s="92">
        <v>150663</v>
      </c>
      <c r="I22" s="92">
        <v>11538</v>
      </c>
      <c r="J22" s="92">
        <v>204798</v>
      </c>
      <c r="K22" s="92">
        <v>464868</v>
      </c>
      <c r="L22" s="98">
        <v>2629755</v>
      </c>
      <c r="M22" s="98">
        <v>565.70000000000005</v>
      </c>
      <c r="N22" s="91">
        <v>502</v>
      </c>
      <c r="O22" s="91">
        <v>685</v>
      </c>
      <c r="P22" s="91" t="s">
        <v>185</v>
      </c>
      <c r="Q22" s="91">
        <v>503</v>
      </c>
      <c r="R22" s="91">
        <v>382</v>
      </c>
      <c r="S22" s="92">
        <v>14443</v>
      </c>
      <c r="T22" s="95">
        <v>4186</v>
      </c>
      <c r="U22" s="96">
        <v>10549</v>
      </c>
      <c r="V22" s="92" t="s">
        <v>185</v>
      </c>
      <c r="W22" s="92">
        <v>23460</v>
      </c>
      <c r="X22" s="60"/>
    </row>
    <row r="23" spans="1:24">
      <c r="A23" s="59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8"/>
      <c r="U23" s="59"/>
      <c r="V23" s="57"/>
      <c r="W23" s="57"/>
      <c r="X23" s="60"/>
    </row>
    <row r="24" spans="1:24">
      <c r="A24" s="59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8"/>
      <c r="U24" s="59"/>
      <c r="V24" s="57"/>
      <c r="W24" s="57"/>
      <c r="X24" s="60"/>
    </row>
    <row r="25" spans="1:24">
      <c r="A25" s="59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8"/>
      <c r="U25" s="59"/>
      <c r="V25" s="57"/>
      <c r="W25" s="57"/>
      <c r="X25" s="60"/>
    </row>
    <row r="26" spans="1:24">
      <c r="A26" s="59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8"/>
      <c r="U26" s="59"/>
      <c r="V26" s="57"/>
      <c r="W26" s="57"/>
      <c r="X26" s="60"/>
    </row>
    <row r="27" spans="1:24">
      <c r="A27" s="59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8"/>
      <c r="U27" s="59"/>
      <c r="V27" s="57"/>
      <c r="W27" s="57"/>
      <c r="X27" s="60"/>
    </row>
    <row r="28" spans="1:24">
      <c r="A28" s="59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8"/>
      <c r="U28" s="59"/>
      <c r="V28" s="57"/>
      <c r="W28" s="57"/>
      <c r="X28" s="60"/>
    </row>
    <row r="29" spans="1:24">
      <c r="A29" s="59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8"/>
      <c r="U29" s="59"/>
      <c r="V29" s="57"/>
      <c r="W29" s="57"/>
      <c r="X29" s="60"/>
    </row>
    <row r="30" spans="1:24">
      <c r="A30" s="59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8"/>
      <c r="U30" s="59"/>
      <c r="V30" s="57"/>
      <c r="W30" s="57"/>
      <c r="X30" s="60"/>
    </row>
    <row r="31" spans="1:24">
      <c r="A31" s="59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8"/>
      <c r="U31" s="59"/>
      <c r="V31" s="57"/>
      <c r="W31" s="57"/>
      <c r="X31" s="60"/>
    </row>
    <row r="32" spans="1:24">
      <c r="A32" s="59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8"/>
      <c r="U32" s="59"/>
      <c r="V32" s="57"/>
      <c r="W32" s="57"/>
      <c r="X32" s="60"/>
    </row>
    <row r="33" spans="1:24">
      <c r="A33" s="59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8"/>
      <c r="U33" s="59"/>
      <c r="V33" s="57"/>
      <c r="W33" s="57"/>
      <c r="X33" s="60"/>
    </row>
    <row r="34" spans="1:24">
      <c r="A34" s="59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8"/>
      <c r="U34" s="59"/>
      <c r="V34" s="57"/>
      <c r="W34" s="57"/>
      <c r="X34" s="60"/>
    </row>
    <row r="35" spans="1:24">
      <c r="A35" s="59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8"/>
      <c r="U35" s="59"/>
      <c r="V35" s="57"/>
      <c r="W35" s="57"/>
      <c r="X35" s="60"/>
    </row>
    <row r="36" spans="1:24">
      <c r="A36" s="59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8"/>
      <c r="U36" s="59"/>
      <c r="V36" s="57"/>
      <c r="W36" s="57"/>
      <c r="X36" s="60"/>
    </row>
    <row r="37" spans="1:24">
      <c r="A37" s="59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8"/>
      <c r="U37" s="59"/>
      <c r="V37" s="57"/>
      <c r="W37" s="57"/>
      <c r="X37" s="60"/>
    </row>
    <row r="38" spans="1:24" ht="17.25" thickBot="1">
      <c r="A38" s="61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4"/>
      <c r="U38" s="61"/>
      <c r="V38" s="62"/>
      <c r="W38" s="62"/>
      <c r="X38" s="6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zoomScale="85" zoomScaleNormal="85" workbookViewId="0">
      <selection activeCell="K4" sqref="K4:S4"/>
    </sheetView>
  </sheetViews>
  <sheetFormatPr defaultColWidth="8.75" defaultRowHeight="15"/>
  <cols>
    <col min="1" max="1" width="18.5" style="135" customWidth="1"/>
    <col min="2" max="5" width="18.5" style="105" customWidth="1"/>
    <col min="6" max="7" width="8.75" style="105"/>
    <col min="8" max="8" width="19.5" style="105" bestFit="1" customWidth="1"/>
    <col min="9" max="9" width="19.5" style="105" customWidth="1"/>
    <col min="10" max="11" width="8.75" style="105"/>
    <col min="12" max="15" width="12.75" style="105" customWidth="1"/>
    <col min="16" max="18" width="8.75" style="105"/>
    <col min="19" max="19" width="15.875" style="105" bestFit="1" customWidth="1"/>
    <col min="20" max="22" width="8.75" style="105"/>
    <col min="23" max="24" width="8.875" style="105" bestFit="1" customWidth="1"/>
    <col min="25" max="25" width="10.875" style="105" customWidth="1"/>
    <col min="26" max="16384" width="8.75" style="105"/>
  </cols>
  <sheetData>
    <row r="1" spans="1:25" ht="15.75" thickBot="1">
      <c r="A1" s="103" t="s">
        <v>59</v>
      </c>
      <c r="B1" s="104" t="s">
        <v>60</v>
      </c>
      <c r="C1" s="104" t="s">
        <v>84</v>
      </c>
      <c r="D1" s="104" t="s">
        <v>61</v>
      </c>
      <c r="E1" s="104" t="s">
        <v>62</v>
      </c>
      <c r="F1" s="104" t="s">
        <v>54</v>
      </c>
      <c r="G1" s="104" t="s">
        <v>63</v>
      </c>
      <c r="H1" s="104" t="s">
        <v>163</v>
      </c>
      <c r="I1" s="104" t="s">
        <v>166</v>
      </c>
    </row>
    <row r="2" spans="1:25" ht="15.75" thickBot="1">
      <c r="A2" s="106">
        <v>45078</v>
      </c>
      <c r="B2" s="107">
        <v>330054</v>
      </c>
      <c r="C2" s="107">
        <v>30876</v>
      </c>
      <c r="D2" s="107">
        <v>9</v>
      </c>
      <c r="E2" s="107">
        <v>161213</v>
      </c>
      <c r="F2" s="107">
        <v>16020</v>
      </c>
      <c r="G2" s="108">
        <v>9.9371638763623288E-2</v>
      </c>
      <c r="H2" s="107" t="s">
        <v>164</v>
      </c>
      <c r="I2" s="109" t="s">
        <v>164</v>
      </c>
      <c r="K2" s="254" t="s">
        <v>93</v>
      </c>
      <c r="L2" s="255"/>
      <c r="M2" s="255"/>
      <c r="N2" s="255"/>
      <c r="O2" s="255"/>
      <c r="P2" s="255"/>
      <c r="Q2" s="255"/>
      <c r="R2" s="255"/>
      <c r="S2" s="256"/>
      <c r="T2" s="110" t="s">
        <v>117</v>
      </c>
    </row>
    <row r="3" spans="1:25">
      <c r="A3" s="106">
        <v>45108</v>
      </c>
      <c r="B3" s="107">
        <v>329242</v>
      </c>
      <c r="C3" s="107">
        <v>355</v>
      </c>
      <c r="D3" s="107">
        <v>15</v>
      </c>
      <c r="E3" s="107">
        <v>551335</v>
      </c>
      <c r="F3" s="107">
        <v>12862</v>
      </c>
      <c r="G3" s="108">
        <v>2.3328829114785021E-2</v>
      </c>
      <c r="H3" s="107" t="s">
        <v>164</v>
      </c>
      <c r="I3" s="109" t="s">
        <v>164</v>
      </c>
      <c r="K3" s="111" t="s">
        <v>90</v>
      </c>
      <c r="L3" s="112" t="s">
        <v>91</v>
      </c>
      <c r="M3" s="112" t="s">
        <v>92</v>
      </c>
      <c r="N3" s="112" t="s">
        <v>61</v>
      </c>
      <c r="O3" s="112" t="s">
        <v>62</v>
      </c>
      <c r="P3" s="112" t="s">
        <v>54</v>
      </c>
      <c r="Q3" s="112" t="s">
        <v>58</v>
      </c>
      <c r="R3" s="112" t="s">
        <v>131</v>
      </c>
      <c r="S3" s="113" t="s">
        <v>165</v>
      </c>
      <c r="T3" s="114"/>
    </row>
    <row r="4" spans="1:25" ht="15.75" thickBot="1">
      <c r="A4" s="106" t="s">
        <v>106</v>
      </c>
      <c r="B4" s="107">
        <v>328540</v>
      </c>
      <c r="C4" s="107">
        <v>152</v>
      </c>
      <c r="D4" s="107">
        <v>19</v>
      </c>
      <c r="E4" s="107">
        <v>496814</v>
      </c>
      <c r="F4" s="107">
        <v>8289</v>
      </c>
      <c r="G4" s="108">
        <v>1.668431243886042E-2</v>
      </c>
      <c r="H4" s="107" t="s">
        <v>164</v>
      </c>
      <c r="I4" s="109" t="s">
        <v>164</v>
      </c>
      <c r="K4" s="115">
        <f>일일data!$A$4</f>
        <v>45505</v>
      </c>
      <c r="L4" s="116">
        <f>VLOOKUP(EOMONTH(일일data!$A$4,0),일일data!$A:$Z,13,FALSE)</f>
        <v>322563</v>
      </c>
      <c r="M4" s="116" t="str" cm="1">
        <f t="array" ref="M4">INDEX('구글시트 data'!P:P,COUNTA('구글시트 data'!P:P))</f>
        <v>-</v>
      </c>
      <c r="N4" s="116">
        <f>COUNTA('FB 콘텐츠 data'!A:A)-1</f>
        <v>15</v>
      </c>
      <c r="O4" s="116" cm="1">
        <f t="array" ref="O4">INDEX('구글시트 data'!F:F,COUNTA('구글시트 data'!F:F)+1)</f>
        <v>189852</v>
      </c>
      <c r="P4" s="116" cm="1">
        <f t="array" ref="P4">INDEX('구글시트 data'!U:U,COUNTA('구글시트 data'!U:U))</f>
        <v>10549</v>
      </c>
      <c r="Q4" s="117">
        <f>P4/O4</f>
        <v>5.5564334323578365E-2</v>
      </c>
      <c r="R4" s="116">
        <f ca="1">SUM(
  INDIRECT("'FB 콘텐츠 data'!R"&amp;1&amp;"C"&amp;MATCH($R$3,'FB 콘텐츠 data'!$A$1:$AP$1,0),FALSE):
  INDIRECT("'FB 콘텐츠 data'!R"&amp;100&amp;"C"&amp;MATCH($R$3,'FB 콘텐츠 data'!$A$1:$AP$1,0),FALSE)
)</f>
        <v>162487</v>
      </c>
      <c r="S4" s="118">
        <f ca="1">R4/N4</f>
        <v>10832.466666666667</v>
      </c>
      <c r="T4" s="114"/>
    </row>
    <row r="5" spans="1:25">
      <c r="A5" s="106" t="s">
        <v>107</v>
      </c>
      <c r="B5" s="107">
        <v>327807</v>
      </c>
      <c r="C5" s="107">
        <v>67</v>
      </c>
      <c r="D5" s="107">
        <v>16</v>
      </c>
      <c r="E5" s="107">
        <v>552584</v>
      </c>
      <c r="F5" s="107">
        <v>8677</v>
      </c>
      <c r="G5" s="108">
        <v>1.5702590013464017E-2</v>
      </c>
      <c r="H5" s="107" t="s">
        <v>164</v>
      </c>
      <c r="I5" s="109" t="s">
        <v>164</v>
      </c>
      <c r="T5" s="114"/>
      <c r="U5" s="11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249명
(-0.08%) 감소</v>
      </c>
    </row>
    <row r="6" spans="1:25">
      <c r="A6" s="106" t="s">
        <v>105</v>
      </c>
      <c r="B6" s="107">
        <v>327316</v>
      </c>
      <c r="C6" s="107">
        <v>92</v>
      </c>
      <c r="D6" s="107">
        <v>17</v>
      </c>
      <c r="E6" s="107">
        <v>595990</v>
      </c>
      <c r="F6" s="107">
        <v>13547</v>
      </c>
      <c r="G6" s="108">
        <v>2.2730247151797851E-2</v>
      </c>
      <c r="H6" s="107" t="s">
        <v>164</v>
      </c>
      <c r="I6" s="109" t="s">
        <v>164</v>
      </c>
      <c r="L6" s="252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52"/>
      <c r="N6" s="252"/>
      <c r="O6" s="252"/>
      <c r="T6" s="114"/>
      <c r="U6" s="120"/>
      <c r="W6" s="114"/>
    </row>
    <row r="7" spans="1:25">
      <c r="A7" s="106">
        <v>45231</v>
      </c>
      <c r="B7" s="107">
        <v>326663</v>
      </c>
      <c r="C7" s="107">
        <v>83</v>
      </c>
      <c r="D7" s="107">
        <v>14</v>
      </c>
      <c r="E7" s="107">
        <v>411639</v>
      </c>
      <c r="F7" s="107">
        <v>13458</v>
      </c>
      <c r="G7" s="108">
        <v>3.2693695203807223E-2</v>
      </c>
      <c r="H7" s="107" t="s">
        <v>164</v>
      </c>
      <c r="I7" s="109" t="s">
        <v>164</v>
      </c>
      <c r="T7" s="114"/>
    </row>
    <row r="8" spans="1:25">
      <c r="A8" s="106">
        <v>45261</v>
      </c>
      <c r="B8" s="107">
        <v>325870</v>
      </c>
      <c r="C8" s="107">
        <v>43</v>
      </c>
      <c r="D8" s="107">
        <v>19</v>
      </c>
      <c r="E8" s="107">
        <v>326081</v>
      </c>
      <c r="F8" s="107">
        <v>10333</v>
      </c>
      <c r="G8" s="108">
        <v>3.1688445508937964E-2</v>
      </c>
      <c r="H8" s="107" t="s">
        <v>164</v>
      </c>
      <c r="I8" s="109" t="s">
        <v>164</v>
      </c>
      <c r="T8" s="114"/>
      <c r="U8" s="121" t="str" cm="1">
        <f t="array" ref="U8">"• "&amp;MONTH($K$4)+1&amp;"월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9월 1일 기준 팬 수 322,563명으로 전월 대비 0.08% 감소</v>
      </c>
    </row>
    <row r="9" spans="1:25">
      <c r="A9" s="106">
        <v>45292</v>
      </c>
      <c r="B9" s="107">
        <v>325213</v>
      </c>
      <c r="C9" s="107">
        <v>76</v>
      </c>
      <c r="D9" s="107">
        <v>22</v>
      </c>
      <c r="E9" s="107">
        <v>399275</v>
      </c>
      <c r="F9" s="107">
        <v>15303</v>
      </c>
      <c r="G9" s="108">
        <v>3.8326967628827251E-2</v>
      </c>
      <c r="H9" s="107">
        <v>623243</v>
      </c>
      <c r="I9" s="109">
        <v>28329.227272727272</v>
      </c>
      <c r="L9" s="253" t="s">
        <v>64</v>
      </c>
      <c r="M9" s="253"/>
      <c r="N9" s="253"/>
      <c r="O9" s="253"/>
      <c r="T9" s="114"/>
      <c r="U9" s="122" t="str">
        <f>"-   "&amp;MONTH(INDEX(A:A,COUNTA(A:A)))&amp;"월 신규 팔로우 "&amp;INDEX('구글시트 data'!N:N,COUNTA('구글시트 data'!N:N))&amp;" 확보, 전월 대비 "&amp;TEXT(ABS((INDEX('구글시트 data'!N:N,(COUNTA('구글시트 data'!N:N)))-INDEX('구글시트 data'!N:N,COUNTA('구글시트 data'!N:N)-1))/INDEX('구글시트 data'!N:N,COUNTA('구글시트 data'!N:N)-1)),"0.00%")&amp;IF(INDEX('구글시트 data'!N:N,(COUNTA('구글시트 data'!N:N)))&gt;INDEX('구글시트 data'!N:N,(COUNTA('구글시트 data'!N:N))-1)," 증가"," 감소")</f>
        <v>-   8월 신규 팔로우 502 확보, 전월 대비 18.68% 증가</v>
      </c>
    </row>
    <row r="10" spans="1:25" ht="20.45" customHeight="1">
      <c r="A10" s="106">
        <v>45323</v>
      </c>
      <c r="B10" s="107">
        <v>324457</v>
      </c>
      <c r="C10" s="107">
        <v>0</v>
      </c>
      <c r="D10" s="107">
        <v>12</v>
      </c>
      <c r="E10" s="107">
        <v>173174</v>
      </c>
      <c r="F10" s="107">
        <v>6807</v>
      </c>
      <c r="G10" s="108">
        <v>3.9307286313187889E-2</v>
      </c>
      <c r="H10" s="107">
        <v>228524</v>
      </c>
      <c r="I10" s="109">
        <v>19043.666666666668</v>
      </c>
      <c r="L10" s="212" t="s">
        <v>264</v>
      </c>
      <c r="M10" s="123">
        <f>INDEX(A:A,COUNTA(B:B)-1)</f>
        <v>45474</v>
      </c>
      <c r="N10" s="123">
        <f>INDEX(A:A,COUNTA(B:B))</f>
        <v>45505</v>
      </c>
      <c r="O10" s="124" t="s">
        <v>69</v>
      </c>
      <c r="T10" s="114"/>
      <c r="U10" s="125" t="str" cm="1">
        <f t="array" ref="U10">"-   "&amp;MONTH($K$4)&amp;"월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8월 한 달간 페이지 방문 14,443 확보, 전월 대비 13.34% 증가</v>
      </c>
    </row>
    <row r="11" spans="1:25">
      <c r="A11" s="106">
        <v>45352</v>
      </c>
      <c r="B11" s="107">
        <v>323919</v>
      </c>
      <c r="C11" s="107">
        <v>0</v>
      </c>
      <c r="D11" s="107">
        <v>13</v>
      </c>
      <c r="E11" s="107">
        <v>199557</v>
      </c>
      <c r="F11" s="107">
        <v>9707</v>
      </c>
      <c r="G11" s="108">
        <v>4.8642743677245096E-2</v>
      </c>
      <c r="H11" s="107">
        <v>235898</v>
      </c>
      <c r="I11" s="109">
        <v>18146</v>
      </c>
      <c r="L11" s="211" t="s">
        <v>265</v>
      </c>
      <c r="M11" s="126">
        <f>INDEX(B:B,COUNTA(B:B)-1)</f>
        <v>322812</v>
      </c>
      <c r="N11" s="126">
        <f>INDEX(B:B,COUNTA(B:B))</f>
        <v>322563</v>
      </c>
      <c r="O11" s="126" t="str">
        <f>IF(M11&gt;N11,"▼ "&amp;TEXT(ABS((N11-M11)/M11),"0.00%"),"▲ "&amp;TEXT(ABS((N11-M11)/M11),"0.00%"))</f>
        <v>▼ 0.08%</v>
      </c>
      <c r="S11" s="127"/>
      <c r="T11" s="114"/>
      <c r="U11" s="128" t="str" cm="1">
        <f t="array" ref="U11">"• "&amp;MONTH($K$4)&amp;"월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8월 콘텐츠 도달 189,852 확보, 전월 대비 13.05% 감소</v>
      </c>
    </row>
    <row r="12" spans="1:25">
      <c r="A12" s="106">
        <v>45383</v>
      </c>
      <c r="B12" s="107">
        <v>323559</v>
      </c>
      <c r="C12" s="107">
        <v>0</v>
      </c>
      <c r="D12" s="107">
        <v>17</v>
      </c>
      <c r="E12" s="107">
        <v>294501</v>
      </c>
      <c r="F12" s="107">
        <v>8585</v>
      </c>
      <c r="G12" s="108">
        <v>2.9151004580629608E-2</v>
      </c>
      <c r="H12" s="107">
        <v>359972</v>
      </c>
      <c r="I12" s="109">
        <v>21174.823529411766</v>
      </c>
      <c r="L12" s="211" t="s">
        <v>16</v>
      </c>
      <c r="M12" s="129">
        <f>INDEX(D:D,COUNTA(D:D)-1)</f>
        <v>20</v>
      </c>
      <c r="N12" s="126">
        <f>INDEX(D:D,COUNTA(D:D))</f>
        <v>15</v>
      </c>
      <c r="O12" s="126" t="str">
        <f t="shared" ref="O12:O14" si="0">IF(M12&gt;N12,"▼ "&amp;TEXT(ABS((N12-M12)/M12),"0.00%"),"▲ "&amp;TEXT(ABS((N12-M12)/M12),"0.00%"))</f>
        <v>▼ 25.00%</v>
      </c>
      <c r="S12" s="127"/>
      <c r="T12" s="114"/>
      <c r="U12" s="122" t="str" cm="1">
        <f t="array" ref="U12">"-   "&amp;MONTH($K$4)&amp;"월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8월 콘텐츠 오가닉 도달 19,564로 전월 대비 9.17% 증가</v>
      </c>
    </row>
    <row r="13" spans="1:25">
      <c r="A13" s="106">
        <v>45413</v>
      </c>
      <c r="B13" s="107">
        <v>323315</v>
      </c>
      <c r="C13" s="107">
        <v>0</v>
      </c>
      <c r="D13" s="107">
        <v>15</v>
      </c>
      <c r="E13" s="107">
        <v>303924</v>
      </c>
      <c r="F13" s="107">
        <v>12390</v>
      </c>
      <c r="G13" s="108">
        <v>4.0766770640028427E-2</v>
      </c>
      <c r="H13" s="107">
        <v>357336</v>
      </c>
      <c r="I13" s="109">
        <v>23822.400000000001</v>
      </c>
      <c r="L13" s="211" t="s">
        <v>261</v>
      </c>
      <c r="M13" s="126">
        <f>INDEX(E:E,COUNTA(D:D)-1)</f>
        <v>218342</v>
      </c>
      <c r="N13" s="126">
        <f>INDEX(E:E,COUNTA(D:D))</f>
        <v>189852</v>
      </c>
      <c r="O13" s="126" t="str">
        <f t="shared" si="0"/>
        <v>▼ 13.05%</v>
      </c>
      <c r="S13" s="127"/>
      <c r="T13" s="114"/>
      <c r="U13" s="122" t="str" cm="1">
        <f t="array" ref="U13">"-   "&amp;MONTH($K$4)&amp;"월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8월 발행 콘텐츠 도달 162,487로 전월 대비 39.03% 감소</v>
      </c>
    </row>
    <row r="14" spans="1:25" ht="16.5">
      <c r="A14" s="106">
        <v>45444</v>
      </c>
      <c r="B14" s="107">
        <v>323112</v>
      </c>
      <c r="C14" s="107">
        <v>0</v>
      </c>
      <c r="D14" s="107">
        <v>12</v>
      </c>
      <c r="E14" s="107">
        <v>279861</v>
      </c>
      <c r="F14" s="107">
        <v>7026</v>
      </c>
      <c r="G14" s="108">
        <v>2.5105320141070031E-2</v>
      </c>
      <c r="H14" s="107">
        <v>194886</v>
      </c>
      <c r="I14" s="109">
        <v>16240.5</v>
      </c>
      <c r="L14" s="211" t="s">
        <v>262</v>
      </c>
      <c r="M14" s="126">
        <f>INDEX(F:F,COUNTA(D:D)-1)</f>
        <v>9324</v>
      </c>
      <c r="N14" s="126">
        <f>INDEX(F:F,COUNTA(D:D))</f>
        <v>10549</v>
      </c>
      <c r="O14" s="126" t="str">
        <f t="shared" si="0"/>
        <v>▲ 13.14%</v>
      </c>
      <c r="S14" s="127"/>
      <c r="T14" s="114"/>
      <c r="U14" s="122" t="str" cm="1">
        <f t="array" ref="U14">"-   "&amp;MONTH($K$4)&amp;"월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8월 발행 콘텐츠 평균 도달 10,832로 전월 대비 18.70% 감소</v>
      </c>
      <c r="X14" s="130"/>
      <c r="Y14" s="131"/>
    </row>
    <row r="15" spans="1:25">
      <c r="A15" s="106">
        <v>45474</v>
      </c>
      <c r="B15" s="107">
        <v>322812</v>
      </c>
      <c r="C15" s="107">
        <v>0</v>
      </c>
      <c r="D15" s="107">
        <v>20</v>
      </c>
      <c r="E15" s="107">
        <v>218342</v>
      </c>
      <c r="F15" s="107">
        <v>9324</v>
      </c>
      <c r="G15" s="108">
        <v>4.2703648404796145E-2</v>
      </c>
      <c r="H15" s="107">
        <v>266486</v>
      </c>
      <c r="I15" s="109">
        <v>13324.3</v>
      </c>
      <c r="L15" s="211" t="s">
        <v>263</v>
      </c>
      <c r="M15" s="132">
        <f>INDEX(G:G,COUNTA(D:D)-1)</f>
        <v>4.2703648404796145E-2</v>
      </c>
      <c r="N15" s="132">
        <f>INDEX(G:G,COUNTA(D:D))</f>
        <v>5.5564334323578365E-2</v>
      </c>
      <c r="O15" s="126" t="str">
        <f>IF(M15&gt;N15,"▼ "&amp;TEXT(100*ABS(N15-M15),"0.00")&amp;"%p","▲ "&amp;TEXT(100*ABS(N15-M15),"0.00")&amp;"%p")</f>
        <v>▲ 1.29%p</v>
      </c>
      <c r="S15" s="127"/>
      <c r="T15" s="114"/>
      <c r="U15" s="128" t="str" cm="1">
        <f t="array" ref="U15">"• "&amp;MONTH($K$4)&amp;"월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8월 한 달간 콘텐츠 인터랙션 10,549 확보, 전월 대비 13.14% 증가</v>
      </c>
    </row>
    <row r="16" spans="1:25">
      <c r="A16" s="106">
        <v>45505</v>
      </c>
      <c r="B16" s="107">
        <v>322563</v>
      </c>
      <c r="C16" s="107" t="s">
        <v>185</v>
      </c>
      <c r="D16" s="107">
        <v>15</v>
      </c>
      <c r="E16" s="107">
        <v>189852</v>
      </c>
      <c r="F16" s="107">
        <v>10549</v>
      </c>
      <c r="G16" s="108">
        <v>5.5564334323578365E-2</v>
      </c>
      <c r="H16" s="107">
        <v>162487</v>
      </c>
      <c r="I16" s="109">
        <v>10832.466666666667</v>
      </c>
      <c r="L16" s="133"/>
      <c r="S16" s="127"/>
      <c r="T16" s="114"/>
      <c r="U16" s="122" t="str">
        <f>"-   링크 클릭 "&amp;TEXT(INDEX('구글시트 data'!V:V,COUNTA('구글시트 data'!V:V)),"#,###")&amp;"회, 조회 시간 "&amp;TEXT(INDEX('구글시트 data'!W:W,COUNTA('구글시트 data'!W:W)),"#,###")&amp;" (전월 대비 "&amp;TEXT(ABS((INDEX('구글시트 data'!W:W,COUNTA('구글시트 data'!W:W))-INDEX('구글시트 data'!W:W,COUNTA('구글시트 data'!W:W)-1))/INDEX('구글시트 data'!W:W,COUNTA('구글시트 data'!W:W)-1)),"0.##%")&amp;IF(INDEX('구글시트 data'!W:W,COUNTA('구글시트 data'!W:W))&gt;INDEX('구글시트 data'!W:W,COUNTA('구글시트 data'!W:W)-1)," 증가"," 감소")&amp;") 확보"</f>
        <v>-   링크 클릭 -회, 조회 시간 23,460 (전월 대비 24.13% 증가) 확보</v>
      </c>
    </row>
    <row r="17" spans="1:23">
      <c r="A17" s="106"/>
      <c r="B17" s="107"/>
      <c r="C17" s="107"/>
      <c r="D17" s="107"/>
      <c r="E17" s="107"/>
      <c r="F17" s="107"/>
      <c r="G17" s="108"/>
      <c r="H17" s="107"/>
      <c r="I17" s="109"/>
      <c r="T17" s="114"/>
      <c r="U17" s="105" t="str" cm="1">
        <f t="array" ref="U17">"• "&amp;MONTH($K$4)&amp;"월 한 달간 팔로워 이탈 " &amp; TEXT(INDEX('구글시트 data'!$Q:$Q, COUNTA('구글시트 data'!$Q:$Q)), "#,###") &amp; "명 발생, 전월 대비 "&amp;
TEXT(ABS(INDEX('구글시트 data'!$Q:$Q, COUNTA('구글시트 data'!$Q:$Q)) - INDEX('구글시트 data'!$Q:$Q, COUNTA('구글시트 data'!$Q:$Q)-1)) / INDEX('구글시트 data'!$Q:$Q, COUNTA('구글시트 data'!$Q:$Q)-1),"0.00%") &amp;
IF(INDEX('구글시트 data'!$Q:$Q, COUNTA('구글시트 data'!$Q:$Q)) &gt;= INDEX('구글시트 data'!$Q:$Q, COUNTA('구글시트 data'!$Q:$Q)-1), " 증가", " 감소")</f>
        <v>• 8월 한 달간 팔로워 이탈 503명 발생, 전월 대비 15.90% 증가</v>
      </c>
    </row>
    <row r="18" spans="1:23">
      <c r="A18" s="106"/>
      <c r="B18" s="107"/>
      <c r="C18" s="107"/>
      <c r="D18" s="107"/>
      <c r="E18" s="107"/>
      <c r="F18" s="107"/>
      <c r="G18" s="108"/>
      <c r="H18" s="107"/>
      <c r="I18" s="109"/>
      <c r="T18" s="114"/>
      <c r="U18" s="105" t="str" cm="1">
        <f t="array" ref="U18">"• "&amp;MONTH($K$4)&amp;"월 한 달간 페이지 방문 " &amp; TEXT(INDEX('구글시트 data'!$S:$S, COUNTA('구글시트 data'!$S:$S)), "#,####") &amp; " 확보, 전월 대비 " &amp;
TEXT(ABS(INDEX('구글시트 data'!$S:$S, COUNTA('구글시트 data'!$S:$S)) - INDEX('구글시트 data'!$S:$S, COUNTA('구글시트 data'!$S:$S)-1)) / INDEX('구글시트 data'!$S:$S, COUNTA('구글시트 data'!$S:$S) - 1), "0.00%") &amp;
IF(INDEX('구글시트 data'!$S:$S, COUNTA('구글시트 data'!$S:$S)) &gt;= INDEX('구글시트 data'!$S:$S, COUNTA('구글시트 data'!$S:$S) - 1), " 증가", " 감소")</f>
        <v>• 8월 한 달간 페이지 방문 14,443 확보, 전월 대비 13.34% 증가</v>
      </c>
    </row>
    <row r="19" spans="1:23">
      <c r="A19" s="106"/>
      <c r="B19" s="107"/>
      <c r="C19" s="107"/>
      <c r="D19" s="107"/>
      <c r="E19" s="107"/>
      <c r="F19" s="107"/>
      <c r="G19" s="108"/>
      <c r="H19" s="107"/>
      <c r="I19" s="109"/>
      <c r="T19" s="114"/>
    </row>
    <row r="20" spans="1:23">
      <c r="A20" s="106"/>
      <c r="B20" s="107"/>
      <c r="C20" s="107"/>
      <c r="D20" s="107"/>
      <c r="E20" s="107"/>
      <c r="F20" s="107"/>
      <c r="G20" s="108"/>
      <c r="H20" s="107"/>
      <c r="I20" s="109"/>
      <c r="T20" s="114"/>
      <c r="U20" s="137"/>
    </row>
    <row r="21" spans="1:23">
      <c r="A21" s="106"/>
      <c r="B21" s="107"/>
      <c r="C21" s="107"/>
      <c r="D21" s="107"/>
      <c r="E21" s="107"/>
      <c r="F21" s="107"/>
      <c r="G21" s="108"/>
      <c r="H21" s="107"/>
      <c r="I21" s="109"/>
      <c r="T21" s="114"/>
    </row>
    <row r="22" spans="1:23">
      <c r="A22" s="106"/>
      <c r="B22" s="107"/>
      <c r="C22" s="107"/>
      <c r="D22" s="107"/>
      <c r="E22" s="107"/>
      <c r="F22" s="107"/>
      <c r="G22" s="108"/>
      <c r="H22" s="107"/>
      <c r="I22" s="109"/>
      <c r="T22" s="114"/>
    </row>
    <row r="23" spans="1:23">
      <c r="A23" s="106"/>
      <c r="B23" s="107"/>
      <c r="C23" s="107"/>
      <c r="D23" s="107"/>
      <c r="E23" s="107"/>
      <c r="F23" s="107"/>
      <c r="G23" s="108"/>
      <c r="H23" s="107"/>
      <c r="I23" s="109"/>
      <c r="U23" s="114" t="s">
        <v>456</v>
      </c>
    </row>
    <row r="24" spans="1:23">
      <c r="A24" s="106"/>
      <c r="B24" s="107"/>
      <c r="C24" s="107"/>
      <c r="D24" s="107"/>
      <c r="E24" s="107"/>
      <c r="F24" s="107"/>
      <c r="G24" s="108"/>
      <c r="H24" s="107"/>
      <c r="I24" s="109"/>
      <c r="T24" s="114"/>
      <c r="U24" s="137" t="s">
        <v>431</v>
      </c>
      <c r="W24" s="134"/>
    </row>
    <row r="25" spans="1:23">
      <c r="A25" s="106"/>
      <c r="B25" s="107"/>
      <c r="C25" s="107"/>
      <c r="D25" s="107"/>
      <c r="E25" s="107"/>
      <c r="F25" s="107"/>
      <c r="G25" s="108"/>
      <c r="H25" s="107"/>
      <c r="I25" s="109"/>
      <c r="T25" s="114"/>
      <c r="U25" s="137" t="s">
        <v>432</v>
      </c>
    </row>
    <row r="26" spans="1:23">
      <c r="A26" s="106"/>
      <c r="B26" s="107"/>
      <c r="C26" s="107"/>
      <c r="D26" s="107"/>
      <c r="E26" s="107"/>
      <c r="F26" s="107"/>
      <c r="G26" s="108"/>
      <c r="H26" s="107"/>
      <c r="I26" s="109"/>
      <c r="T26" s="114"/>
      <c r="U26" s="137" t="s">
        <v>433</v>
      </c>
    </row>
    <row r="27" spans="1:23">
      <c r="A27" s="106"/>
      <c r="B27" s="107"/>
      <c r="C27" s="107"/>
      <c r="D27" s="107"/>
      <c r="E27" s="107"/>
      <c r="F27" s="107"/>
      <c r="G27" s="108"/>
      <c r="H27" s="107"/>
      <c r="I27" s="109"/>
      <c r="T27" s="114"/>
    </row>
    <row r="28" spans="1:23">
      <c r="A28" s="106"/>
      <c r="B28" s="107"/>
      <c r="C28" s="107"/>
      <c r="D28" s="107"/>
      <c r="E28" s="107"/>
      <c r="F28" s="107"/>
      <c r="G28" s="108"/>
      <c r="H28" s="107"/>
      <c r="I28" s="109"/>
      <c r="T28" s="114"/>
    </row>
    <row r="29" spans="1:23">
      <c r="A29" s="106"/>
      <c r="B29" s="107"/>
      <c r="C29" s="107"/>
      <c r="D29" s="107"/>
      <c r="E29" s="107"/>
      <c r="F29" s="107"/>
      <c r="G29" s="108"/>
      <c r="H29" s="107"/>
      <c r="I29" s="109"/>
      <c r="T29" s="114"/>
    </row>
    <row r="30" spans="1:23">
      <c r="A30" s="106"/>
      <c r="B30" s="107"/>
      <c r="C30" s="107"/>
      <c r="D30" s="107"/>
      <c r="E30" s="107"/>
      <c r="F30" s="107"/>
      <c r="G30" s="108"/>
      <c r="H30" s="107"/>
      <c r="I30" s="109"/>
      <c r="T30" s="114"/>
    </row>
    <row r="31" spans="1:23">
      <c r="A31" s="106"/>
      <c r="B31" s="107"/>
      <c r="C31" s="107"/>
      <c r="D31" s="107"/>
      <c r="E31" s="107"/>
      <c r="F31" s="107"/>
      <c r="G31" s="108"/>
      <c r="H31" s="107"/>
      <c r="I31" s="109"/>
      <c r="T31" s="114"/>
    </row>
    <row r="32" spans="1:23">
      <c r="A32" s="106"/>
      <c r="B32" s="107"/>
      <c r="C32" s="107"/>
      <c r="D32" s="107"/>
      <c r="E32" s="107"/>
      <c r="F32" s="107"/>
      <c r="G32" s="108"/>
      <c r="H32" s="107"/>
      <c r="I32" s="109"/>
      <c r="T32" s="114"/>
    </row>
    <row r="33" spans="1:21">
      <c r="A33" s="106"/>
      <c r="B33" s="107"/>
      <c r="C33" s="107"/>
      <c r="D33" s="107"/>
      <c r="E33" s="107"/>
      <c r="F33" s="107"/>
      <c r="G33" s="108"/>
      <c r="H33" s="107"/>
      <c r="I33" s="109"/>
      <c r="T33" s="114"/>
    </row>
    <row r="34" spans="1:21">
      <c r="A34" s="106"/>
      <c r="B34" s="107"/>
      <c r="C34" s="107"/>
      <c r="D34" s="107"/>
      <c r="E34" s="107"/>
      <c r="F34" s="107"/>
      <c r="G34" s="108"/>
      <c r="H34" s="107"/>
      <c r="I34" s="109"/>
      <c r="T34" s="114"/>
    </row>
    <row r="35" spans="1:21">
      <c r="A35" s="106"/>
      <c r="B35" s="107"/>
      <c r="C35" s="107"/>
      <c r="D35" s="107"/>
      <c r="E35" s="107"/>
      <c r="F35" s="107"/>
      <c r="G35" s="108"/>
      <c r="H35" s="107"/>
      <c r="I35" s="109"/>
      <c r="T35" s="114"/>
      <c r="U35" s="105" t="s">
        <v>242</v>
      </c>
    </row>
    <row r="36" spans="1:21">
      <c r="A36" s="106"/>
      <c r="B36" s="107"/>
      <c r="C36" s="107"/>
      <c r="D36" s="107"/>
      <c r="E36" s="107"/>
      <c r="F36" s="107"/>
      <c r="G36" s="108"/>
      <c r="H36" s="107"/>
      <c r="I36" s="109"/>
      <c r="T36" s="114"/>
      <c r="U36" s="105" t="s">
        <v>450</v>
      </c>
    </row>
    <row r="37" spans="1:21">
      <c r="A37" s="106"/>
      <c r="B37" s="107"/>
      <c r="C37" s="107"/>
      <c r="D37" s="107"/>
      <c r="E37" s="107"/>
      <c r="F37" s="107"/>
      <c r="G37" s="108"/>
      <c r="H37" s="107"/>
      <c r="I37" s="109"/>
      <c r="T37" s="114"/>
    </row>
    <row r="38" spans="1:21">
      <c r="A38" s="106"/>
      <c r="B38" s="107"/>
      <c r="C38" s="107"/>
      <c r="D38" s="107"/>
      <c r="E38" s="107"/>
      <c r="F38" s="107"/>
      <c r="G38" s="108"/>
      <c r="H38" s="107"/>
      <c r="I38" s="109"/>
      <c r="T38" s="114"/>
    </row>
    <row r="39" spans="1:21">
      <c r="A39" s="106"/>
      <c r="B39" s="107"/>
      <c r="C39" s="107"/>
      <c r="D39" s="107"/>
      <c r="E39" s="107"/>
      <c r="F39" s="107"/>
      <c r="G39" s="108"/>
      <c r="H39" s="107"/>
      <c r="I39" s="109"/>
      <c r="T39" s="114"/>
    </row>
    <row r="40" spans="1:21">
      <c r="A40" s="106"/>
      <c r="B40" s="107"/>
      <c r="C40" s="107"/>
      <c r="D40" s="107"/>
      <c r="E40" s="107"/>
      <c r="F40" s="107"/>
      <c r="G40" s="108"/>
      <c r="H40" s="107"/>
      <c r="I40" s="109"/>
      <c r="T40" s="114"/>
    </row>
    <row r="41" spans="1:21">
      <c r="A41" s="106"/>
      <c r="B41" s="107"/>
      <c r="C41" s="107"/>
      <c r="D41" s="107"/>
      <c r="E41" s="107"/>
      <c r="F41" s="107"/>
      <c r="G41" s="108"/>
      <c r="H41" s="107"/>
      <c r="I41" s="109"/>
      <c r="T41" s="114"/>
    </row>
    <row r="42" spans="1:21">
      <c r="A42" s="106"/>
      <c r="B42" s="107"/>
      <c r="C42" s="107"/>
      <c r="D42" s="107"/>
      <c r="E42" s="107"/>
      <c r="F42" s="107"/>
      <c r="G42" s="108"/>
      <c r="H42" s="107"/>
      <c r="I42" s="109"/>
      <c r="T42" s="114"/>
    </row>
    <row r="43" spans="1:21">
      <c r="A43" s="106"/>
      <c r="B43" s="107"/>
      <c r="C43" s="107"/>
      <c r="D43" s="107"/>
      <c r="E43" s="107"/>
      <c r="F43" s="107"/>
      <c r="G43" s="108"/>
      <c r="H43" s="107"/>
      <c r="I43" s="109"/>
      <c r="T43" s="114"/>
    </row>
    <row r="44" spans="1:21">
      <c r="A44" s="106"/>
      <c r="B44" s="107"/>
      <c r="C44" s="107"/>
      <c r="D44" s="107"/>
      <c r="E44" s="107"/>
      <c r="F44" s="107"/>
      <c r="G44" s="108"/>
      <c r="H44" s="107"/>
      <c r="I44" s="109"/>
      <c r="T44" s="114"/>
    </row>
    <row r="45" spans="1:21">
      <c r="A45" s="106"/>
      <c r="B45" s="107"/>
      <c r="C45" s="107"/>
      <c r="D45" s="107"/>
      <c r="E45" s="107"/>
      <c r="F45" s="107"/>
      <c r="G45" s="108"/>
      <c r="H45" s="107"/>
      <c r="I45" s="109"/>
      <c r="T45" s="114"/>
    </row>
    <row r="46" spans="1:21">
      <c r="A46" s="106"/>
      <c r="B46" s="107"/>
      <c r="C46" s="107"/>
      <c r="D46" s="107"/>
      <c r="E46" s="107"/>
      <c r="F46" s="107"/>
      <c r="G46" s="108"/>
      <c r="H46" s="107"/>
      <c r="I46" s="109"/>
      <c r="T46" s="114"/>
    </row>
    <row r="47" spans="1:21">
      <c r="A47" s="106"/>
      <c r="B47" s="107"/>
      <c r="C47" s="107"/>
      <c r="D47" s="107"/>
      <c r="E47" s="107"/>
      <c r="F47" s="107"/>
      <c r="G47" s="108"/>
      <c r="H47" s="107"/>
      <c r="I47" s="109"/>
      <c r="T47" s="114"/>
    </row>
    <row r="48" spans="1:21">
      <c r="A48" s="106"/>
      <c r="B48" s="107"/>
      <c r="C48" s="107"/>
      <c r="D48" s="107"/>
      <c r="E48" s="107"/>
      <c r="F48" s="107"/>
      <c r="G48" s="108"/>
      <c r="H48" s="107"/>
      <c r="I48" s="109"/>
      <c r="T48" s="114"/>
    </row>
    <row r="49" spans="1:20">
      <c r="A49" s="106"/>
      <c r="B49" s="107"/>
      <c r="C49" s="107"/>
      <c r="D49" s="107"/>
      <c r="E49" s="107"/>
      <c r="F49" s="107"/>
      <c r="G49" s="108"/>
      <c r="H49" s="107"/>
      <c r="I49" s="109"/>
      <c r="T49" s="114"/>
    </row>
    <row r="50" spans="1:20">
      <c r="A50" s="106"/>
      <c r="B50" s="107"/>
      <c r="C50" s="107"/>
      <c r="D50" s="107"/>
      <c r="E50" s="107"/>
      <c r="F50" s="107"/>
      <c r="G50" s="108"/>
      <c r="H50" s="107"/>
      <c r="I50" s="109"/>
    </row>
    <row r="51" spans="1:20">
      <c r="A51" s="106"/>
      <c r="B51" s="107"/>
      <c r="C51" s="107"/>
      <c r="D51" s="107"/>
      <c r="E51" s="107"/>
      <c r="F51" s="107"/>
      <c r="G51" s="108"/>
      <c r="H51" s="107"/>
      <c r="I51" s="109"/>
    </row>
    <row r="52" spans="1:20">
      <c r="A52" s="106"/>
      <c r="B52" s="107"/>
      <c r="C52" s="107"/>
      <c r="D52" s="107"/>
      <c r="E52" s="107"/>
      <c r="F52" s="107"/>
      <c r="G52" s="108"/>
      <c r="H52" s="107"/>
      <c r="I52" s="109"/>
    </row>
    <row r="53" spans="1:20">
      <c r="A53" s="106"/>
      <c r="B53" s="107"/>
      <c r="C53" s="107"/>
      <c r="D53" s="107"/>
      <c r="E53" s="107"/>
      <c r="F53" s="107"/>
      <c r="G53" s="108"/>
      <c r="H53" s="107"/>
      <c r="I53" s="109"/>
    </row>
    <row r="54" spans="1:20">
      <c r="A54" s="106"/>
      <c r="B54" s="107"/>
      <c r="C54" s="107"/>
      <c r="D54" s="107"/>
      <c r="E54" s="107"/>
      <c r="F54" s="107"/>
      <c r="G54" s="108"/>
      <c r="H54" s="107"/>
      <c r="I54" s="109"/>
    </row>
    <row r="55" spans="1:20">
      <c r="A55" s="106"/>
      <c r="B55" s="107"/>
      <c r="C55" s="107"/>
      <c r="D55" s="107"/>
      <c r="E55" s="107"/>
      <c r="F55" s="107"/>
      <c r="G55" s="108"/>
      <c r="H55" s="107"/>
      <c r="I55" s="109"/>
    </row>
    <row r="56" spans="1:20">
      <c r="A56" s="106"/>
      <c r="B56" s="107"/>
      <c r="C56" s="107"/>
      <c r="D56" s="107"/>
      <c r="E56" s="107"/>
      <c r="F56" s="107"/>
      <c r="G56" s="108"/>
      <c r="H56" s="107"/>
      <c r="I56" s="109"/>
    </row>
    <row r="57" spans="1:20">
      <c r="A57" s="106"/>
      <c r="B57" s="107"/>
      <c r="C57" s="107"/>
      <c r="D57" s="107"/>
      <c r="E57" s="107"/>
      <c r="F57" s="107"/>
      <c r="G57" s="108"/>
      <c r="H57" s="107"/>
      <c r="I57" s="109"/>
    </row>
    <row r="58" spans="1:20">
      <c r="A58" s="106"/>
      <c r="B58" s="107"/>
      <c r="C58" s="107"/>
      <c r="D58" s="107"/>
      <c r="E58" s="107"/>
      <c r="F58" s="107"/>
      <c r="G58" s="108"/>
      <c r="H58" s="107"/>
      <c r="I58" s="109"/>
    </row>
    <row r="59" spans="1:20">
      <c r="A59" s="106"/>
      <c r="B59" s="107"/>
      <c r="C59" s="107"/>
      <c r="D59" s="107"/>
      <c r="E59" s="107"/>
      <c r="F59" s="107"/>
      <c r="G59" s="108"/>
      <c r="H59" s="107"/>
      <c r="I59" s="109"/>
    </row>
    <row r="60" spans="1:20">
      <c r="A60" s="106"/>
      <c r="B60" s="107"/>
      <c r="C60" s="107"/>
      <c r="D60" s="107"/>
      <c r="E60" s="107"/>
      <c r="F60" s="107"/>
      <c r="G60" s="108"/>
      <c r="H60" s="107"/>
      <c r="I60" s="109"/>
    </row>
    <row r="61" spans="1:20">
      <c r="A61" s="106"/>
      <c r="B61" s="107"/>
      <c r="C61" s="107"/>
      <c r="D61" s="107"/>
      <c r="E61" s="107"/>
      <c r="F61" s="107"/>
      <c r="G61" s="108"/>
      <c r="H61" s="107"/>
      <c r="I61" s="109"/>
    </row>
    <row r="62" spans="1:20">
      <c r="A62" s="106"/>
      <c r="B62" s="107"/>
      <c r="C62" s="107"/>
      <c r="D62" s="107"/>
      <c r="E62" s="107"/>
      <c r="F62" s="107"/>
      <c r="G62" s="108"/>
      <c r="H62" s="107"/>
      <c r="I62" s="109"/>
    </row>
    <row r="63" spans="1:20">
      <c r="A63" s="106"/>
      <c r="B63" s="107"/>
      <c r="C63" s="107"/>
      <c r="D63" s="107"/>
      <c r="E63" s="107"/>
      <c r="F63" s="107"/>
      <c r="G63" s="108"/>
      <c r="H63" s="107"/>
      <c r="I63" s="109"/>
    </row>
    <row r="64" spans="1:20">
      <c r="A64" s="106"/>
      <c r="B64" s="107"/>
      <c r="C64" s="107"/>
      <c r="D64" s="107"/>
      <c r="E64" s="107"/>
      <c r="F64" s="107"/>
      <c r="G64" s="108"/>
      <c r="H64" s="107"/>
      <c r="I64" s="109"/>
    </row>
    <row r="65" spans="1:9">
      <c r="A65" s="106"/>
      <c r="B65" s="107"/>
      <c r="C65" s="107"/>
      <c r="D65" s="107"/>
      <c r="E65" s="107"/>
      <c r="F65" s="107"/>
      <c r="G65" s="108"/>
      <c r="H65" s="107"/>
      <c r="I65" s="109"/>
    </row>
    <row r="66" spans="1:9">
      <c r="A66" s="106"/>
      <c r="B66" s="107"/>
      <c r="C66" s="107"/>
      <c r="D66" s="107"/>
      <c r="E66" s="107"/>
      <c r="F66" s="107"/>
      <c r="G66" s="108"/>
      <c r="H66" s="107"/>
      <c r="I66" s="109"/>
    </row>
    <row r="67" spans="1:9">
      <c r="A67" s="106"/>
      <c r="B67" s="107"/>
      <c r="C67" s="107"/>
      <c r="D67" s="107"/>
      <c r="E67" s="107"/>
      <c r="F67" s="107"/>
      <c r="G67" s="108"/>
      <c r="H67" s="107"/>
      <c r="I67" s="109"/>
    </row>
    <row r="68" spans="1:9">
      <c r="A68" s="106"/>
      <c r="B68" s="107"/>
      <c r="C68" s="107"/>
      <c r="D68" s="107"/>
      <c r="E68" s="107"/>
      <c r="F68" s="107"/>
      <c r="G68" s="108"/>
      <c r="H68" s="107"/>
      <c r="I68" s="109"/>
    </row>
    <row r="69" spans="1:9">
      <c r="A69" s="106"/>
      <c r="B69" s="107"/>
      <c r="C69" s="107"/>
      <c r="D69" s="107"/>
      <c r="E69" s="107"/>
      <c r="F69" s="107"/>
      <c r="G69" s="108"/>
      <c r="H69" s="107"/>
      <c r="I69" s="109"/>
    </row>
    <row r="70" spans="1:9">
      <c r="A70" s="106"/>
      <c r="B70" s="107"/>
      <c r="C70" s="107"/>
      <c r="D70" s="107"/>
      <c r="E70" s="107"/>
      <c r="F70" s="107"/>
      <c r="G70" s="108"/>
      <c r="H70" s="107"/>
      <c r="I70" s="109"/>
    </row>
    <row r="71" spans="1:9">
      <c r="A71" s="106"/>
      <c r="B71" s="107"/>
      <c r="C71" s="107"/>
      <c r="D71" s="107"/>
      <c r="E71" s="107"/>
      <c r="F71" s="107"/>
      <c r="G71" s="108"/>
      <c r="H71" s="107"/>
      <c r="I71" s="109"/>
    </row>
    <row r="72" spans="1:9">
      <c r="A72" s="106"/>
      <c r="B72" s="107"/>
      <c r="C72" s="107"/>
      <c r="D72" s="107"/>
      <c r="E72" s="107"/>
      <c r="F72" s="107"/>
      <c r="G72" s="108"/>
      <c r="H72" s="107"/>
      <c r="I72" s="109"/>
    </row>
    <row r="73" spans="1:9">
      <c r="A73" s="106"/>
      <c r="B73" s="107"/>
      <c r="C73" s="107"/>
      <c r="D73" s="107"/>
      <c r="E73" s="107"/>
      <c r="F73" s="107"/>
      <c r="G73" s="108"/>
      <c r="H73" s="107"/>
      <c r="I73" s="109"/>
    </row>
    <row r="74" spans="1:9">
      <c r="A74" s="106"/>
      <c r="B74" s="107"/>
      <c r="C74" s="107"/>
      <c r="D74" s="107"/>
      <c r="E74" s="107"/>
      <c r="F74" s="107"/>
      <c r="G74" s="108"/>
      <c r="H74" s="107"/>
      <c r="I74" s="109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3" priority="1" operator="containsText" text="값붙">
      <formula>NOT(ISERROR(SEARCH("값붙",L6)))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zoomScale="85" zoomScaleNormal="85" workbookViewId="0">
      <selection activeCell="E3" sqref="E3:R17"/>
    </sheetView>
  </sheetViews>
  <sheetFormatPr defaultRowHeight="15"/>
  <cols>
    <col min="1" max="1" width="8.875" style="137" bestFit="1" customWidth="1"/>
    <col min="2" max="2" width="10" style="137" customWidth="1"/>
    <col min="3" max="3" width="9.25" style="137" customWidth="1"/>
    <col min="4" max="4" width="52.75" style="137" customWidth="1"/>
    <col min="5" max="17" width="9.125" style="137" bestFit="1" customWidth="1"/>
    <col min="18" max="18" width="15.25" style="137" customWidth="1"/>
    <col min="19" max="19" width="9" style="137"/>
    <col min="20" max="21" width="4" style="137" bestFit="1" customWidth="1"/>
    <col min="22" max="22" width="9.125" style="137" bestFit="1" customWidth="1"/>
    <col min="23" max="16384" width="9" style="137"/>
  </cols>
  <sheetData>
    <row r="1" spans="1:25">
      <c r="R1" s="151"/>
      <c r="Y1" s="152" t="s">
        <v>115</v>
      </c>
    </row>
    <row r="2" spans="1:25" ht="22.5">
      <c r="A2" s="153"/>
      <c r="B2" s="154" t="s">
        <v>44</v>
      </c>
      <c r="C2" s="154" t="s">
        <v>53</v>
      </c>
      <c r="D2" s="155" t="s">
        <v>189</v>
      </c>
      <c r="E2" s="154" t="s">
        <v>55</v>
      </c>
      <c r="F2" s="154" t="s">
        <v>131</v>
      </c>
      <c r="G2" s="154" t="s">
        <v>172</v>
      </c>
      <c r="H2" s="154" t="s">
        <v>54</v>
      </c>
      <c r="I2" s="154" t="s">
        <v>77</v>
      </c>
      <c r="J2" s="154" t="s">
        <v>18</v>
      </c>
      <c r="K2" s="154" t="s">
        <v>125</v>
      </c>
      <c r="L2" s="154" t="s">
        <v>120</v>
      </c>
      <c r="M2" s="154" t="s">
        <v>132</v>
      </c>
      <c r="N2" s="154" t="s">
        <v>118</v>
      </c>
      <c r="O2" s="154" t="s">
        <v>45</v>
      </c>
      <c r="P2" s="154" t="s">
        <v>119</v>
      </c>
      <c r="Q2" s="154" t="s">
        <v>56</v>
      </c>
      <c r="R2" s="154" t="s">
        <v>58</v>
      </c>
      <c r="Y2" s="152" t="s">
        <v>133</v>
      </c>
    </row>
    <row r="3" spans="1:25" ht="17.45" customHeight="1">
      <c r="A3" s="156">
        <v>1</v>
      </c>
      <c r="B3" s="195">
        <f>IFERROR(INDEX('FB 콘텐츠 data'!AQ:AQ,MATCH('FB 신규발행'!A3,'FB 콘텐츠 data'!AR:AR,0)),"")</f>
        <v>45527</v>
      </c>
      <c r="C3" s="196" t="str">
        <f>IFERROR(INDEX('FB 콘텐츠 data'!$A$1:$AH$25,MATCH('FB 신규발행'!$A3,'FB 콘텐츠 data'!$AR:$AR,0),MATCH(C$2,'FB 콘텐츠 data'!$A$1:$AH$1,0)),"")</f>
        <v>사진</v>
      </c>
      <c r="D3" s="197" t="str">
        <f>IFERROR(INDEX('FB 콘텐츠 data'!$A$1:$AH$25,MATCH('FB 신규발행'!$A3,'FB 콘텐츠 data'!$AR:$AR,0),MATCH(D$2,'FB 콘텐츠 data'!$A$1:$AH$1,0)),"")</f>
        <v>[EVENT] 에너지食 Ep. 3</v>
      </c>
      <c r="E3" s="197">
        <f>IFERROR(INDEX('FB 콘텐츠 data'!$A$1:$AH$25,MATCH('FB 신규발행'!$A3,'FB 콘텐츠 data'!$AR:$AR,0),MATCH(E$2,'FB 콘텐츠 data'!$A$1:$AH$1,0)),"")</f>
        <v>4793</v>
      </c>
      <c r="F3" s="197">
        <f>IFERROR(INDEX('FB 콘텐츠 data'!$A$1:$AH$25,MATCH('FB 신규발행'!$A3,'FB 콘텐츠 data'!$AR:$AR,0),MATCH(F$2,'FB 콘텐츠 data'!$A$1:$AH$1,0)),"")</f>
        <v>3168</v>
      </c>
      <c r="G3" s="197">
        <f>IFERROR(INDEX('FB 콘텐츠 data'!$A$1:$AH$25,MATCH('FB 신규발행'!$A3,'FB 콘텐츠 data'!$AR:$AR,0),MATCH(G$2,'FB 콘텐츠 data'!$A$1:$AH$1,0)),"")</f>
        <v>1880</v>
      </c>
      <c r="H3" s="197">
        <f t="shared" ref="H3:H34" si="0">IF(B3="","",I3+J3+O3+Q3)</f>
        <v>1956</v>
      </c>
      <c r="I3" s="197">
        <f>IFERROR(INDEX('FB 콘텐츠 data'!$A$1:$AH$25,MATCH('FB 신규발행'!$A3,'FB 콘텐츠 data'!$AR:$AR,0),MATCH(I$2,'FB 콘텐츠 data'!$A$1:$AH$1,0)),"")</f>
        <v>927</v>
      </c>
      <c r="J3" s="197">
        <f>IFERROR(INDEX('FB 콘텐츠 data'!$A$1:$AH$25,MATCH('FB 신규발행'!$A3,'FB 콘텐츠 data'!$AR:$AR,0),MATCH(J$2,'FB 콘텐츠 data'!$A$1:$AH$1,0)),"")</f>
        <v>556</v>
      </c>
      <c r="K3" s="196">
        <f>IFERROR(INDEX('FB 콘텐츠 data'!$A$1:$AR$25,MATCH('FB 신규발행'!$A3,'FB 콘텐츠 data'!$AR:$AR,0),MATCH(K$2,'FB 콘텐츠 data'!$A$1:$AR$1,0)),"")</f>
        <v>0</v>
      </c>
      <c r="L3" s="197" t="str">
        <f>IFERROR(INDEX('FB 콘텐츠 data'!$A$1:$AH$25,MATCH('FB 신규발행'!$A3,'FB 콘텐츠 data'!$AR:$AR,0),MATCH(L$2,'FB 콘텐츠 data'!$A$1:$AH$1,0)),"")</f>
        <v>-</v>
      </c>
      <c r="M3" s="197">
        <f>IFERROR(INDEX('FB 콘텐츠 data'!$A$1:$AH$25,MATCH('FB 신규발행'!$A3,'FB 콘텐츠 data'!$AR:$AR,0),MATCH(M$2,'FB 콘텐츠 data'!$A$1:$AH$1,0)),"")</f>
        <v>24</v>
      </c>
      <c r="N3" s="197">
        <f>IFERROR(INDEX('FB 콘텐츠 data'!$A$1:$AH$25,MATCH('FB 신규발행'!$A3,'FB 콘텐츠 data'!$AR:$AR,0),MATCH(N$2,'FB 콘텐츠 data'!$A$1:$AH$1,0)),"")</f>
        <v>50</v>
      </c>
      <c r="O3" s="197">
        <f>IFERROR(INDEX('FB 콘텐츠 data'!$A$1:$AH$25,MATCH('FB 신규발행'!$A3,'FB 콘텐츠 data'!$AR:$AR,0),MATCH(O$2,'FB 콘텐츠 data'!$A$1:$AH$1,0)),"")</f>
        <v>65</v>
      </c>
      <c r="P3" s="197">
        <f>IFERROR(INDEX('FB 콘텐츠 data'!$A$1:$AH$25,MATCH('FB 신규발행'!$A3,'FB 콘텐츠 data'!$AR:$AR,0),MATCH(P$2,'FB 콘텐츠 data'!$A$1:$AH$1,0)),"")</f>
        <v>334</v>
      </c>
      <c r="Q3" s="197">
        <f>IFERROR(INDEX('FB 콘텐츠 data'!$A$1:$AH$25,MATCH('FB 신규발행'!$A3,'FB 콘텐츠 data'!$AR:$AR,0),MATCH(Q$2,'FB 콘텐츠 data'!$A$1:$AH$1,0)),"")</f>
        <v>408</v>
      </c>
      <c r="R3" s="198">
        <f t="shared" ref="R3:R34" si="1">IFERROR(H3/F3,"")</f>
        <v>0.61742424242424243</v>
      </c>
      <c r="T3" s="125">
        <f t="shared" ref="T3:T34" si="2">IFERROR(RANK(R3,$R$3:$R$82,0),"")</f>
        <v>1</v>
      </c>
      <c r="U3" s="125">
        <f t="shared" ref="U3:U34" si="3">IFERROR(RANK(E3,$E$3:$E$82,0),"")</f>
        <v>10</v>
      </c>
      <c r="V3" s="137">
        <f>IFERROR(INDEX(A:A,MATCH(A3,T:T,0)),"")</f>
        <v>1</v>
      </c>
      <c r="Y3" s="157"/>
    </row>
    <row r="4" spans="1:25" ht="17.45" customHeight="1">
      <c r="A4" s="156">
        <v>2</v>
      </c>
      <c r="B4" s="195">
        <f>IFERROR(INDEX('FB 콘텐츠 data'!AQ:AQ,MATCH('FB 신규발행'!A4,'FB 콘텐츠 data'!AR:AR,0)),"")</f>
        <v>45519</v>
      </c>
      <c r="C4" s="196" t="str">
        <f>IFERROR(INDEX('FB 콘텐츠 data'!$A$1:$AH$25,MATCH('FB 신규발행'!$A4,'FB 콘텐츠 data'!$AR:$AR,0),MATCH(C$2,'FB 콘텐츠 data'!$A$1:$AH$1,0)),"")</f>
        <v>사진</v>
      </c>
      <c r="D4" s="197" t="str">
        <f>IFERROR(INDEX('FB 콘텐츠 data'!$A$1:$AH$25,MATCH('FB 신규발행'!$A4,'FB 콘텐츠 data'!$AR:$AR,0),MATCH(D$2,'FB 콘텐츠 data'!$A$1:$AH$1,0)),"")</f>
        <v>광복절 기념 콘텐츠</v>
      </c>
      <c r="E4" s="197">
        <f>IFERROR(INDEX('FB 콘텐츠 data'!$A$1:$AH$25,MATCH('FB 신규발행'!$A4,'FB 콘텐츠 data'!$AR:$AR,0),MATCH(E$2,'FB 콘텐츠 data'!$A$1:$AH$1,0)),"")</f>
        <v>13011</v>
      </c>
      <c r="F4" s="197">
        <f>IFERROR(INDEX('FB 콘텐츠 data'!$A$1:$AH$25,MATCH('FB 신규발행'!$A4,'FB 콘텐츠 data'!$AR:$AR,0),MATCH(F$2,'FB 콘텐츠 data'!$A$1:$AH$1,0)),"")</f>
        <v>11724</v>
      </c>
      <c r="G4" s="197">
        <f>IFERROR(INDEX('FB 콘텐츠 data'!$A$1:$AH$25,MATCH('FB 신규발행'!$A4,'FB 콘텐츠 data'!$AR:$AR,0),MATCH(G$2,'FB 콘텐츠 data'!$A$1:$AH$1,0)),"")</f>
        <v>4704</v>
      </c>
      <c r="H4" s="197">
        <f t="shared" si="0"/>
        <v>1801</v>
      </c>
      <c r="I4" s="197">
        <f>IFERROR(INDEX('FB 콘텐츠 data'!$A$1:$AH$25,MATCH('FB 신규발행'!$A4,'FB 콘텐츠 data'!$AR:$AR,0),MATCH(I$2,'FB 콘텐츠 data'!$A$1:$AH$1,0)),"")</f>
        <v>1103</v>
      </c>
      <c r="J4" s="197">
        <f>IFERROR(INDEX('FB 콘텐츠 data'!$A$1:$AH$25,MATCH('FB 신규발행'!$A4,'FB 콘텐츠 data'!$AR:$AR,0),MATCH(J$2,'FB 콘텐츠 data'!$A$1:$AH$1,0)),"")</f>
        <v>34</v>
      </c>
      <c r="K4" s="196">
        <f>IFERROR(INDEX('FB 콘텐츠 data'!$A$1:$AR$25,MATCH('FB 신규발행'!$A4,'FB 콘텐츠 data'!$AR:$AR,0),MATCH(K$2,'FB 콘텐츠 data'!$A$1:$AR$1,0)),"")</f>
        <v>0</v>
      </c>
      <c r="L4" s="197" t="str">
        <f>IFERROR(INDEX('FB 콘텐츠 data'!$A$1:$AH$25,MATCH('FB 신규발행'!$A4,'FB 콘텐츠 data'!$AR:$AR,0),MATCH(L$2,'FB 콘텐츠 data'!$A$1:$AH$1,0)),"")</f>
        <v>-</v>
      </c>
      <c r="M4" s="197">
        <f>IFERROR(INDEX('FB 콘텐츠 data'!$A$1:$AH$25,MATCH('FB 신규발행'!$A4,'FB 콘텐츠 data'!$AR:$AR,0),MATCH(M$2,'FB 콘텐츠 data'!$A$1:$AH$1,0)),"")</f>
        <v>65</v>
      </c>
      <c r="N4" s="197">
        <f>IFERROR(INDEX('FB 콘텐츠 data'!$A$1:$AH$25,MATCH('FB 신규발행'!$A4,'FB 콘텐츠 data'!$AR:$AR,0),MATCH(N$2,'FB 콘텐츠 data'!$A$1:$AH$1,0)),"")</f>
        <v>200</v>
      </c>
      <c r="O4" s="197">
        <f>IFERROR(INDEX('FB 콘텐츠 data'!$A$1:$AH$25,MATCH('FB 신규발행'!$A4,'FB 콘텐츠 data'!$AR:$AR,0),MATCH(O$2,'FB 콘텐츠 data'!$A$1:$AH$1,0)),"")</f>
        <v>41</v>
      </c>
      <c r="P4" s="197">
        <f>IFERROR(INDEX('FB 콘텐츠 data'!$A$1:$AH$25,MATCH('FB 신규발행'!$A4,'FB 콘텐츠 data'!$AR:$AR,0),MATCH(P$2,'FB 콘텐츠 data'!$A$1:$AH$1,0)),"")</f>
        <v>358</v>
      </c>
      <c r="Q4" s="197">
        <f>IFERROR(INDEX('FB 콘텐츠 data'!$A$1:$AH$25,MATCH('FB 신규발행'!$A4,'FB 콘텐츠 data'!$AR:$AR,0),MATCH(Q$2,'FB 콘텐츠 data'!$A$1:$AH$1,0)),"")</f>
        <v>623</v>
      </c>
      <c r="R4" s="198">
        <f t="shared" si="1"/>
        <v>0.15361651313544866</v>
      </c>
      <c r="T4" s="125">
        <f t="shared" si="2"/>
        <v>2</v>
      </c>
      <c r="U4" s="125">
        <f t="shared" si="3"/>
        <v>9</v>
      </c>
      <c r="V4" s="137">
        <f t="shared" ref="V4:V33" si="4">IFERROR(INDEX(A:A,MATCH(A4,T:T,0)),"")</f>
        <v>2</v>
      </c>
      <c r="Y4" s="157"/>
    </row>
    <row r="5" spans="1:25" ht="17.45" customHeight="1">
      <c r="A5" s="156">
        <v>3</v>
      </c>
      <c r="B5" s="195">
        <f>IFERROR(INDEX('FB 콘텐츠 data'!AQ:AQ,MATCH('FB 신규발행'!A5,'FB 콘텐츠 data'!AR:AR,0)),"")</f>
        <v>45517</v>
      </c>
      <c r="C5" s="196" t="str">
        <f>IFERROR(INDEX('FB 콘텐츠 data'!$A$1:$AH$25,MATCH('FB 신규발행'!$A5,'FB 콘텐츠 data'!$AR:$AR,0),MATCH(C$2,'FB 콘텐츠 data'!$A$1:$AH$1,0)),"")</f>
        <v>사진</v>
      </c>
      <c r="D5" s="197" t="str">
        <f>IFERROR(INDEX('FB 콘텐츠 data'!$A$1:$AH$25,MATCH('FB 신규발행'!$A5,'FB 콘텐츠 data'!$AR:$AR,0),MATCH(D$2,'FB 콘텐츠 data'!$A$1:$AH$1,0)),"")</f>
        <v>데일리 슼슼 - 캐리어</v>
      </c>
      <c r="E5" s="197">
        <f>IFERROR(INDEX('FB 콘텐츠 data'!$A$1:$AH$25,MATCH('FB 신규발행'!$A5,'FB 콘텐츠 data'!$AR:$AR,0),MATCH(E$2,'FB 콘텐츠 data'!$A$1:$AH$1,0)),"")</f>
        <v>16541</v>
      </c>
      <c r="F5" s="197">
        <f>IFERROR(INDEX('FB 콘텐츠 data'!$A$1:$AH$25,MATCH('FB 신규발행'!$A5,'FB 콘텐츠 data'!$AR:$AR,0),MATCH(F$2,'FB 콘텐츠 data'!$A$1:$AH$1,0)),"")</f>
        <v>10278</v>
      </c>
      <c r="G5" s="197">
        <f>IFERROR(INDEX('FB 콘텐츠 data'!$A$1:$AH$25,MATCH('FB 신규발행'!$A5,'FB 콘텐츠 data'!$AR:$AR,0),MATCH(G$2,'FB 콘텐츠 data'!$A$1:$AH$1,0)),"")</f>
        <v>1013</v>
      </c>
      <c r="H5" s="197">
        <f t="shared" si="0"/>
        <v>1192</v>
      </c>
      <c r="I5" s="197">
        <f>IFERROR(INDEX('FB 콘텐츠 data'!$A$1:$AH$25,MATCH('FB 신규발행'!$A5,'FB 콘텐츠 data'!$AR:$AR,0),MATCH(I$2,'FB 콘텐츠 data'!$A$1:$AH$1,0)),"")</f>
        <v>886</v>
      </c>
      <c r="J5" s="197">
        <f>IFERROR(INDEX('FB 콘텐츠 data'!$A$1:$AH$25,MATCH('FB 신규발행'!$A5,'FB 콘텐츠 data'!$AR:$AR,0),MATCH(J$2,'FB 콘텐츠 data'!$A$1:$AH$1,0)),"")</f>
        <v>20</v>
      </c>
      <c r="K5" s="196">
        <f>IFERROR(INDEX('FB 콘텐츠 data'!$A$1:$AR$25,MATCH('FB 신규발행'!$A5,'FB 콘텐츠 data'!$AR:$AR,0),MATCH(K$2,'FB 콘텐츠 data'!$A$1:$AR$1,0)),"")</f>
        <v>0</v>
      </c>
      <c r="L5" s="197" t="str">
        <f>IFERROR(INDEX('FB 콘텐츠 data'!$A$1:$AH$25,MATCH('FB 신규발행'!$A5,'FB 콘텐츠 data'!$AR:$AR,0),MATCH(L$2,'FB 콘텐츠 data'!$A$1:$AH$1,0)),"")</f>
        <v>-</v>
      </c>
      <c r="M5" s="197" t="str">
        <f>IFERROR(INDEX('FB 콘텐츠 data'!$A$1:$AH$25,MATCH('FB 신규발행'!$A5,'FB 콘텐츠 data'!$AR:$AR,0),MATCH(M$2,'FB 콘텐츠 data'!$A$1:$AH$1,0)),"")</f>
        <v>-</v>
      </c>
      <c r="N5" s="197">
        <f>IFERROR(INDEX('FB 콘텐츠 data'!$A$1:$AH$25,MATCH('FB 신규발행'!$A5,'FB 콘텐츠 data'!$AR:$AR,0),MATCH(N$2,'FB 콘텐츠 data'!$A$1:$AH$1,0)),"")</f>
        <v>0</v>
      </c>
      <c r="O5" s="197">
        <f>IFERROR(INDEX('FB 콘텐츠 data'!$A$1:$AH$25,MATCH('FB 신규발행'!$A5,'FB 콘텐츠 data'!$AR:$AR,0),MATCH(O$2,'FB 콘텐츠 data'!$A$1:$AH$1,0)),"")</f>
        <v>8</v>
      </c>
      <c r="P5" s="197">
        <f>IFERROR(INDEX('FB 콘텐츠 data'!$A$1:$AH$25,MATCH('FB 신규발행'!$A5,'FB 콘텐츠 data'!$AR:$AR,0),MATCH(P$2,'FB 콘텐츠 data'!$A$1:$AH$1,0)),"")</f>
        <v>96</v>
      </c>
      <c r="Q5" s="197">
        <f>IFERROR(INDEX('FB 콘텐츠 data'!$A$1:$AH$25,MATCH('FB 신규발행'!$A5,'FB 콘텐츠 data'!$AR:$AR,0),MATCH(Q$2,'FB 콘텐츠 data'!$A$1:$AH$1,0)),"")</f>
        <v>278</v>
      </c>
      <c r="R5" s="198">
        <f t="shared" si="1"/>
        <v>0.11597587079198288</v>
      </c>
      <c r="T5" s="125">
        <f t="shared" si="2"/>
        <v>3</v>
      </c>
      <c r="U5" s="125">
        <f t="shared" si="3"/>
        <v>7</v>
      </c>
      <c r="V5" s="137">
        <f t="shared" si="4"/>
        <v>3</v>
      </c>
      <c r="Y5" s="157"/>
    </row>
    <row r="6" spans="1:25" ht="17.45" customHeight="1">
      <c r="A6" s="156">
        <v>4</v>
      </c>
      <c r="B6" s="195">
        <f>IFERROR(INDEX('FB 콘텐츠 data'!AQ:AQ,MATCH('FB 신규발행'!A6,'FB 콘텐츠 data'!AR:AR,0)),"")</f>
        <v>45510</v>
      </c>
      <c r="C6" s="196" t="str">
        <f>IFERROR(INDEX('FB 콘텐츠 data'!$A$1:$AH$25,MATCH('FB 신규발행'!$A6,'FB 콘텐츠 data'!$AR:$AR,0),MATCH(C$2,'FB 콘텐츠 data'!$A$1:$AH$1,0)),"")</f>
        <v>사진</v>
      </c>
      <c r="D6" s="197" t="str">
        <f>IFERROR(INDEX('FB 콘텐츠 data'!$A$1:$AH$25,MATCH('FB 신규발행'!$A6,'FB 콘텐츠 data'!$AR:$AR,0),MATCH(D$2,'FB 콘텐츠 data'!$A$1:$AH$1,0)),"")</f>
        <v>이노 백과사전 - SAF</v>
      </c>
      <c r="E6" s="197">
        <f>IFERROR(INDEX('FB 콘텐츠 data'!$A$1:$AH$25,MATCH('FB 신규발행'!$A6,'FB 콘텐츠 data'!$AR:$AR,0),MATCH(E$2,'FB 콘텐츠 data'!$A$1:$AH$1,0)),"")</f>
        <v>15377</v>
      </c>
      <c r="F6" s="197">
        <f>IFERROR(INDEX('FB 콘텐츠 data'!$A$1:$AH$25,MATCH('FB 신규발행'!$A6,'FB 콘텐츠 data'!$AR:$AR,0),MATCH(F$2,'FB 콘텐츠 data'!$A$1:$AH$1,0)),"")</f>
        <v>11075</v>
      </c>
      <c r="G6" s="197">
        <f>IFERROR(INDEX('FB 콘텐츠 data'!$A$1:$AH$25,MATCH('FB 신규발행'!$A6,'FB 콘텐츠 data'!$AR:$AR,0),MATCH(G$2,'FB 콘텐츠 data'!$A$1:$AH$1,0)),"")</f>
        <v>3058</v>
      </c>
      <c r="H6" s="197">
        <f t="shared" si="0"/>
        <v>1097</v>
      </c>
      <c r="I6" s="197">
        <f>IFERROR(INDEX('FB 콘텐츠 data'!$A$1:$AH$25,MATCH('FB 신규발행'!$A6,'FB 콘텐츠 data'!$AR:$AR,0),MATCH(I$2,'FB 콘텐츠 data'!$A$1:$AH$1,0)),"")</f>
        <v>919</v>
      </c>
      <c r="J6" s="197">
        <f>IFERROR(INDEX('FB 콘텐츠 data'!$A$1:$AH$25,MATCH('FB 신규발행'!$A6,'FB 콘텐츠 data'!$AR:$AR,0),MATCH(J$2,'FB 콘텐츠 data'!$A$1:$AH$1,0)),"")</f>
        <v>27</v>
      </c>
      <c r="K6" s="196">
        <f>IFERROR(INDEX('FB 콘텐츠 data'!$A$1:$AR$25,MATCH('FB 신규발행'!$A6,'FB 콘텐츠 data'!$AR:$AR,0),MATCH(K$2,'FB 콘텐츠 data'!$A$1:$AR$1,0)),"")</f>
        <v>0</v>
      </c>
      <c r="L6" s="197" t="str">
        <f>IFERROR(INDEX('FB 콘텐츠 data'!$A$1:$AH$25,MATCH('FB 신규발행'!$A6,'FB 콘텐츠 data'!$AR:$AR,0),MATCH(L$2,'FB 콘텐츠 data'!$A$1:$AH$1,0)),"")</f>
        <v>-</v>
      </c>
      <c r="M6" s="197">
        <f>IFERROR(INDEX('FB 콘텐츠 data'!$A$1:$AH$25,MATCH('FB 신규발행'!$A6,'FB 콘텐츠 data'!$AR:$AR,0),MATCH(M$2,'FB 콘텐츠 data'!$A$1:$AH$1,0)),"")</f>
        <v>41</v>
      </c>
      <c r="N6" s="197">
        <f>IFERROR(INDEX('FB 콘텐츠 data'!$A$1:$AH$25,MATCH('FB 신규발행'!$A6,'FB 콘텐츠 data'!$AR:$AR,0),MATCH(N$2,'FB 콘텐츠 data'!$A$1:$AH$1,0)),"")</f>
        <v>15</v>
      </c>
      <c r="O6" s="197">
        <f>IFERROR(INDEX('FB 콘텐츠 data'!$A$1:$AH$25,MATCH('FB 신규발행'!$A6,'FB 콘텐츠 data'!$AR:$AR,0),MATCH(O$2,'FB 콘텐츠 data'!$A$1:$AH$1,0)),"")</f>
        <v>17</v>
      </c>
      <c r="P6" s="197">
        <f>IFERROR(INDEX('FB 콘텐츠 data'!$A$1:$AH$25,MATCH('FB 신규발행'!$A6,'FB 콘텐츠 data'!$AR:$AR,0),MATCH(P$2,'FB 콘텐츠 data'!$A$1:$AH$1,0)),"")</f>
        <v>78</v>
      </c>
      <c r="Q6" s="197">
        <f>IFERROR(INDEX('FB 콘텐츠 data'!$A$1:$AH$25,MATCH('FB 신규발행'!$A6,'FB 콘텐츠 data'!$AR:$AR,0),MATCH(Q$2,'FB 콘텐츠 data'!$A$1:$AH$1,0)),"")</f>
        <v>134</v>
      </c>
      <c r="R6" s="198">
        <f t="shared" si="1"/>
        <v>9.9051918735891642E-2</v>
      </c>
      <c r="T6" s="125">
        <f t="shared" si="2"/>
        <v>4</v>
      </c>
      <c r="U6" s="125">
        <f t="shared" si="3"/>
        <v>8</v>
      </c>
      <c r="V6" s="137">
        <f t="shared" si="4"/>
        <v>4</v>
      </c>
      <c r="Y6" s="157"/>
    </row>
    <row r="7" spans="1:25" ht="17.45" customHeight="1">
      <c r="A7" s="156">
        <v>5</v>
      </c>
      <c r="B7" s="195">
        <f>IFERROR(INDEX('FB 콘텐츠 data'!AQ:AQ,MATCH('FB 신규발행'!A7,'FB 콘텐츠 data'!AR:AR,0)),"")</f>
        <v>45506</v>
      </c>
      <c r="C7" s="196" t="str">
        <f>IFERROR(INDEX('FB 콘텐츠 data'!$A$1:$AH$25,MATCH('FB 신규발행'!$A7,'FB 콘텐츠 data'!$AR:$AR,0),MATCH(C$2,'FB 콘텐츠 data'!$A$1:$AH$1,0)),"")</f>
        <v>사진</v>
      </c>
      <c r="D7" s="197" t="str">
        <f>IFERROR(INDEX('FB 콘텐츠 data'!$A$1:$AH$25,MATCH('FB 신규발행'!$A7,'FB 콘텐츠 data'!$AR:$AR,0),MATCH(D$2,'FB 콘텐츠 data'!$A$1:$AH$1,0)),"")</f>
        <v>데일리 슼슼 - 우산</v>
      </c>
      <c r="E7" s="197">
        <f>IFERROR(INDEX('FB 콘텐츠 data'!$A$1:$AH$25,MATCH('FB 신규발행'!$A7,'FB 콘텐츠 data'!$AR:$AR,0),MATCH(E$2,'FB 콘텐츠 data'!$A$1:$AH$1,0)),"")</f>
        <v>26074</v>
      </c>
      <c r="F7" s="197">
        <f>IFERROR(INDEX('FB 콘텐츠 data'!$A$1:$AH$25,MATCH('FB 신규발행'!$A7,'FB 콘텐츠 data'!$AR:$AR,0),MATCH(F$2,'FB 콘텐츠 data'!$A$1:$AH$1,0)),"")</f>
        <v>16415</v>
      </c>
      <c r="G7" s="197">
        <f>IFERROR(INDEX('FB 콘텐츠 data'!$A$1:$AH$25,MATCH('FB 신규발행'!$A7,'FB 콘텐츠 data'!$AR:$AR,0),MATCH(G$2,'FB 콘텐츠 data'!$A$1:$AH$1,0)),"")</f>
        <v>2730</v>
      </c>
      <c r="H7" s="197">
        <f t="shared" si="0"/>
        <v>1580</v>
      </c>
      <c r="I7" s="197">
        <f>IFERROR(INDEX('FB 콘텐츠 data'!$A$1:$AH$25,MATCH('FB 신규발행'!$A7,'FB 콘텐츠 data'!$AR:$AR,0),MATCH(I$2,'FB 콘텐츠 data'!$A$1:$AH$1,0)),"")</f>
        <v>1058</v>
      </c>
      <c r="J7" s="197">
        <f>IFERROR(INDEX('FB 콘텐츠 data'!$A$1:$AH$25,MATCH('FB 신규발행'!$A7,'FB 콘텐츠 data'!$AR:$AR,0),MATCH(J$2,'FB 콘텐츠 data'!$A$1:$AH$1,0)),"")</f>
        <v>35</v>
      </c>
      <c r="K7" s="196">
        <f>IFERROR(INDEX('FB 콘텐츠 data'!$A$1:$AR$25,MATCH('FB 신규발행'!$A7,'FB 콘텐츠 data'!$AR:$AR,0),MATCH(K$2,'FB 콘텐츠 data'!$A$1:$AR$1,0)),"")</f>
        <v>0</v>
      </c>
      <c r="L7" s="197" t="str">
        <f>IFERROR(INDEX('FB 콘텐츠 data'!$A$1:$AH$25,MATCH('FB 신규발행'!$A7,'FB 콘텐츠 data'!$AR:$AR,0),MATCH(L$2,'FB 콘텐츠 data'!$A$1:$AH$1,0)),"")</f>
        <v>-</v>
      </c>
      <c r="M7" s="197" t="str">
        <f>IFERROR(INDEX('FB 콘텐츠 data'!$A$1:$AH$25,MATCH('FB 신규발행'!$A7,'FB 콘텐츠 data'!$AR:$AR,0),MATCH(M$2,'FB 콘텐츠 data'!$A$1:$AH$1,0)),"")</f>
        <v>-</v>
      </c>
      <c r="N7" s="197">
        <f>IFERROR(INDEX('FB 콘텐츠 data'!$A$1:$AH$25,MATCH('FB 신규발행'!$A7,'FB 콘텐츠 data'!$AR:$AR,0),MATCH(N$2,'FB 콘텐츠 data'!$A$1:$AH$1,0)),"")</f>
        <v>1</v>
      </c>
      <c r="O7" s="197">
        <f>IFERROR(INDEX('FB 콘텐츠 data'!$A$1:$AH$25,MATCH('FB 신규발행'!$A7,'FB 콘텐츠 data'!$AR:$AR,0),MATCH(O$2,'FB 콘텐츠 data'!$A$1:$AH$1,0)),"")</f>
        <v>17</v>
      </c>
      <c r="P7" s="197">
        <f>IFERROR(INDEX('FB 콘텐츠 data'!$A$1:$AH$25,MATCH('FB 신규발행'!$A7,'FB 콘텐츠 data'!$AR:$AR,0),MATCH(P$2,'FB 콘텐츠 data'!$A$1:$AH$1,0)),"")</f>
        <v>136</v>
      </c>
      <c r="Q7" s="197">
        <f>IFERROR(INDEX('FB 콘텐츠 data'!$A$1:$AH$25,MATCH('FB 신규발행'!$A7,'FB 콘텐츠 data'!$AR:$AR,0),MATCH(Q$2,'FB 콘텐츠 data'!$A$1:$AH$1,0)),"")</f>
        <v>470</v>
      </c>
      <c r="R7" s="198">
        <f t="shared" si="1"/>
        <v>9.625342674383186E-2</v>
      </c>
      <c r="T7" s="125">
        <f t="shared" si="2"/>
        <v>5</v>
      </c>
      <c r="U7" s="125">
        <f t="shared" si="3"/>
        <v>5</v>
      </c>
      <c r="V7" s="137">
        <f t="shared" si="4"/>
        <v>5</v>
      </c>
      <c r="Y7" s="157"/>
    </row>
    <row r="8" spans="1:25" ht="17.45" customHeight="1">
      <c r="A8" s="156">
        <v>6</v>
      </c>
      <c r="B8" s="195">
        <f>IFERROR(INDEX('FB 콘텐츠 data'!AQ:AQ,MATCH('FB 신규발행'!A8,'FB 콘텐츠 data'!AR:AR,0)),"")</f>
        <v>45516</v>
      </c>
      <c r="C8" s="196" t="str">
        <f>IFERROR(INDEX('FB 콘텐츠 data'!$A$1:$AH$25,MATCH('FB 신규발행'!$A8,'FB 콘텐츠 data'!$AR:$AR,0),MATCH(C$2,'FB 콘텐츠 data'!$A$1:$AH$1,0)),"")</f>
        <v>사진</v>
      </c>
      <c r="D8" s="197" t="str">
        <f>IFERROR(INDEX('FB 콘텐츠 data'!$A$1:$AH$25,MATCH('FB 신규발행'!$A8,'FB 콘텐츠 data'!$AR:$AR,0),MATCH(D$2,'FB 콘텐츠 data'!$A$1:$AH$1,0)),"")</f>
        <v>이노드림(장 피아제)</v>
      </c>
      <c r="E8" s="197">
        <f>IFERROR(INDEX('FB 콘텐츠 data'!$A$1:$AH$25,MATCH('FB 신규발행'!$A8,'FB 콘텐츠 data'!$AR:$AR,0),MATCH(E$2,'FB 콘텐츠 data'!$A$1:$AH$1,0)),"")</f>
        <v>3845</v>
      </c>
      <c r="F8" s="197">
        <f>IFERROR(INDEX('FB 콘텐츠 data'!$A$1:$AH$25,MATCH('FB 신규발행'!$A8,'FB 콘텐츠 data'!$AR:$AR,0),MATCH(F$2,'FB 콘텐츠 data'!$A$1:$AH$1,0)),"")</f>
        <v>3324</v>
      </c>
      <c r="G8" s="197">
        <f>IFERROR(INDEX('FB 콘텐츠 data'!$A$1:$AH$25,MATCH('FB 신규발행'!$A8,'FB 콘텐츠 data'!$AR:$AR,0),MATCH(G$2,'FB 콘텐츠 data'!$A$1:$AH$1,0)),"")</f>
        <v>3085</v>
      </c>
      <c r="H8" s="197">
        <f t="shared" si="0"/>
        <v>275</v>
      </c>
      <c r="I8" s="197">
        <f>IFERROR(INDEX('FB 콘텐츠 data'!$A$1:$AH$25,MATCH('FB 신규발행'!$A8,'FB 콘텐츠 data'!$AR:$AR,0),MATCH(I$2,'FB 콘텐츠 data'!$A$1:$AH$1,0)),"")</f>
        <v>183</v>
      </c>
      <c r="J8" s="197">
        <f>IFERROR(INDEX('FB 콘텐츠 data'!$A$1:$AH$25,MATCH('FB 신규발행'!$A8,'FB 콘텐츠 data'!$AR:$AR,0),MATCH(J$2,'FB 콘텐츠 data'!$A$1:$AH$1,0)),"")</f>
        <v>15</v>
      </c>
      <c r="K8" s="196">
        <f>IFERROR(INDEX('FB 콘텐츠 data'!$A$1:$AR$25,MATCH('FB 신규발행'!$A8,'FB 콘텐츠 data'!$AR:$AR,0),MATCH(K$2,'FB 콘텐츠 data'!$A$1:$AR$1,0)),"")</f>
        <v>0</v>
      </c>
      <c r="L8" s="197" t="str">
        <f>IFERROR(INDEX('FB 콘텐츠 data'!$A$1:$AH$25,MATCH('FB 신규발행'!$A8,'FB 콘텐츠 data'!$AR:$AR,0),MATCH(L$2,'FB 콘텐츠 data'!$A$1:$AH$1,0)),"")</f>
        <v>-</v>
      </c>
      <c r="M8" s="197">
        <f>IFERROR(INDEX('FB 콘텐츠 data'!$A$1:$AH$25,MATCH('FB 신규발행'!$A8,'FB 콘텐츠 data'!$AR:$AR,0),MATCH(M$2,'FB 콘텐츠 data'!$A$1:$AH$1,0)),"")</f>
        <v>52</v>
      </c>
      <c r="N8" s="197">
        <f>IFERROR(INDEX('FB 콘텐츠 data'!$A$1:$AH$25,MATCH('FB 신규발행'!$A8,'FB 콘텐츠 data'!$AR:$AR,0),MATCH(N$2,'FB 콘텐츠 data'!$A$1:$AH$1,0)),"")</f>
        <v>0</v>
      </c>
      <c r="O8" s="197">
        <f>IFERROR(INDEX('FB 콘텐츠 data'!$A$1:$AH$25,MATCH('FB 신규발행'!$A8,'FB 콘텐츠 data'!$AR:$AR,0),MATCH(O$2,'FB 콘텐츠 data'!$A$1:$AH$1,0)),"")</f>
        <v>4</v>
      </c>
      <c r="P8" s="197">
        <f>IFERROR(INDEX('FB 콘텐츠 data'!$A$1:$AH$25,MATCH('FB 신규발행'!$A8,'FB 콘텐츠 data'!$AR:$AR,0),MATCH(P$2,'FB 콘텐츠 data'!$A$1:$AH$1,0)),"")</f>
        <v>21</v>
      </c>
      <c r="Q8" s="197">
        <f>IFERROR(INDEX('FB 콘텐츠 data'!$A$1:$AH$25,MATCH('FB 신규발행'!$A8,'FB 콘텐츠 data'!$AR:$AR,0),MATCH(Q$2,'FB 콘텐츠 data'!$A$1:$AH$1,0)),"")</f>
        <v>73</v>
      </c>
      <c r="R8" s="198">
        <f t="shared" si="1"/>
        <v>8.2731648616125156E-2</v>
      </c>
      <c r="T8" s="125">
        <f t="shared" si="2"/>
        <v>6</v>
      </c>
      <c r="U8" s="125">
        <f t="shared" si="3"/>
        <v>13</v>
      </c>
      <c r="V8" s="137">
        <f t="shared" si="4"/>
        <v>6</v>
      </c>
      <c r="Y8" s="157"/>
    </row>
    <row r="9" spans="1:25" ht="17.45" customHeight="1">
      <c r="A9" s="156">
        <v>7</v>
      </c>
      <c r="B9" s="195">
        <f>IFERROR(INDEX('FB 콘텐츠 data'!AQ:AQ,MATCH('FB 신규발행'!A9,'FB 콘텐츠 data'!AR:AR,0)),"")</f>
        <v>45523</v>
      </c>
      <c r="C9" s="196" t="str">
        <f>IFERROR(INDEX('FB 콘텐츠 data'!$A$1:$AH$25,MATCH('FB 신규발행'!$A9,'FB 콘텐츠 data'!$AR:$AR,0),MATCH(C$2,'FB 콘텐츠 data'!$A$1:$AH$1,0)),"")</f>
        <v>사진</v>
      </c>
      <c r="D9" s="197" t="str">
        <f>IFERROR(INDEX('FB 콘텐츠 data'!$A$1:$AH$25,MATCH('FB 신규발행'!$A9,'FB 콘텐츠 data'!$AR:$AR,0),MATCH(D$2,'FB 콘텐츠 data'!$A$1:$AH$1,0)),"")</f>
        <v>이노드림(요한 고트프리트 헤르더)</v>
      </c>
      <c r="E9" s="197">
        <f>IFERROR(INDEX('FB 콘텐츠 data'!$A$1:$AH$25,MATCH('FB 신규발행'!$A9,'FB 콘텐츠 data'!$AR:$AR,0),MATCH(E$2,'FB 콘텐츠 data'!$A$1:$AH$1,0)),"")</f>
        <v>3961</v>
      </c>
      <c r="F9" s="197">
        <f>IFERROR(INDEX('FB 콘텐츠 data'!$A$1:$AH$25,MATCH('FB 신규발행'!$A9,'FB 콘텐츠 data'!$AR:$AR,0),MATCH(F$2,'FB 콘텐츠 data'!$A$1:$AH$1,0)),"")</f>
        <v>3560</v>
      </c>
      <c r="G9" s="197">
        <f>IFERROR(INDEX('FB 콘텐츠 data'!$A$1:$AH$25,MATCH('FB 신규발행'!$A9,'FB 콘텐츠 data'!$AR:$AR,0),MATCH(G$2,'FB 콘텐츠 data'!$A$1:$AH$1,0)),"")</f>
        <v>3355</v>
      </c>
      <c r="H9" s="197">
        <f t="shared" si="0"/>
        <v>229</v>
      </c>
      <c r="I9" s="197">
        <f>IFERROR(INDEX('FB 콘텐츠 data'!$A$1:$AH$25,MATCH('FB 신규발행'!$A9,'FB 콘텐츠 data'!$AR:$AR,0),MATCH(I$2,'FB 콘텐츠 data'!$A$1:$AH$1,0)),"")</f>
        <v>128</v>
      </c>
      <c r="J9" s="197">
        <f>IFERROR(INDEX('FB 콘텐츠 data'!$A$1:$AH$25,MATCH('FB 신규발행'!$A9,'FB 콘텐츠 data'!$AR:$AR,0),MATCH(J$2,'FB 콘텐츠 data'!$A$1:$AH$1,0)),"")</f>
        <v>19</v>
      </c>
      <c r="K9" s="196">
        <f>IFERROR(INDEX('FB 콘텐츠 data'!$A$1:$AR$25,MATCH('FB 신규발행'!$A9,'FB 콘텐츠 data'!$AR:$AR,0),MATCH(K$2,'FB 콘텐츠 data'!$A$1:$AR$1,0)),"")</f>
        <v>0</v>
      </c>
      <c r="L9" s="197" t="str">
        <f>IFERROR(INDEX('FB 콘텐츠 data'!$A$1:$AH$25,MATCH('FB 신규발행'!$A9,'FB 콘텐츠 data'!$AR:$AR,0),MATCH(L$2,'FB 콘텐츠 data'!$A$1:$AH$1,0)),"")</f>
        <v>-</v>
      </c>
      <c r="M9" s="197">
        <f>IFERROR(INDEX('FB 콘텐츠 data'!$A$1:$AH$25,MATCH('FB 신규발행'!$A9,'FB 콘텐츠 data'!$AR:$AR,0),MATCH(M$2,'FB 콘텐츠 data'!$A$1:$AH$1,0)),"")</f>
        <v>54</v>
      </c>
      <c r="N9" s="197">
        <f>IFERROR(INDEX('FB 콘텐츠 data'!$A$1:$AH$25,MATCH('FB 신규발행'!$A9,'FB 콘텐츠 data'!$AR:$AR,0),MATCH(N$2,'FB 콘텐츠 data'!$A$1:$AH$1,0)),"")</f>
        <v>0</v>
      </c>
      <c r="O9" s="197">
        <f>IFERROR(INDEX('FB 콘텐츠 data'!$A$1:$AH$25,MATCH('FB 신규발행'!$A9,'FB 콘텐츠 data'!$AR:$AR,0),MATCH(O$2,'FB 콘텐츠 data'!$A$1:$AH$1,0)),"")</f>
        <v>3</v>
      </c>
      <c r="P9" s="197">
        <f>IFERROR(INDEX('FB 콘텐츠 data'!$A$1:$AH$25,MATCH('FB 신규발행'!$A9,'FB 콘텐츠 data'!$AR:$AR,0),MATCH(P$2,'FB 콘텐츠 data'!$A$1:$AH$1,0)),"")</f>
        <v>25</v>
      </c>
      <c r="Q9" s="197">
        <f>IFERROR(INDEX('FB 콘텐츠 data'!$A$1:$AH$25,MATCH('FB 신규발행'!$A9,'FB 콘텐츠 data'!$AR:$AR,0),MATCH(Q$2,'FB 콘텐츠 data'!$A$1:$AH$1,0)),"")</f>
        <v>79</v>
      </c>
      <c r="R9" s="198">
        <f t="shared" si="1"/>
        <v>6.4325842696629207E-2</v>
      </c>
      <c r="T9" s="125">
        <f t="shared" si="2"/>
        <v>7</v>
      </c>
      <c r="U9" s="125">
        <f t="shared" si="3"/>
        <v>12</v>
      </c>
      <c r="V9" s="137">
        <f t="shared" si="4"/>
        <v>7</v>
      </c>
      <c r="Y9" s="157"/>
    </row>
    <row r="10" spans="1:25" ht="17.45" customHeight="1">
      <c r="A10" s="156">
        <v>8</v>
      </c>
      <c r="B10" s="195">
        <f>IFERROR(INDEX('FB 콘텐츠 data'!AQ:AQ,MATCH('FB 신규발행'!A10,'FB 콘텐츠 data'!AR:AR,0)),"")</f>
        <v>45530</v>
      </c>
      <c r="C10" s="196" t="str">
        <f>IFERROR(INDEX('FB 콘텐츠 data'!$A$1:$AH$25,MATCH('FB 신규발행'!$A10,'FB 콘텐츠 data'!$AR:$AR,0),MATCH(C$2,'FB 콘텐츠 data'!$A$1:$AH$1,0)),"")</f>
        <v>사진</v>
      </c>
      <c r="D10" s="197" t="str">
        <f>IFERROR(INDEX('FB 콘텐츠 data'!$A$1:$AH$25,MATCH('FB 신규발행'!$A10,'FB 콘텐츠 data'!$AR:$AR,0),MATCH(D$2,'FB 콘텐츠 data'!$A$1:$AH$1,0)),"")</f>
        <v>이노드림(요한 볼프강 폰 괴테)</v>
      </c>
      <c r="E10" s="197">
        <f>IFERROR(INDEX('FB 콘텐츠 data'!$A$1:$AH$25,MATCH('FB 신규발행'!$A10,'FB 콘텐츠 data'!$AR:$AR,0),MATCH(E$2,'FB 콘텐츠 data'!$A$1:$AH$1,0)),"")</f>
        <v>4258</v>
      </c>
      <c r="F10" s="197">
        <f>IFERROR(INDEX('FB 콘텐츠 data'!$A$1:$AH$25,MATCH('FB 신규발행'!$A10,'FB 콘텐츠 data'!$AR:$AR,0),MATCH(F$2,'FB 콘텐츠 data'!$A$1:$AH$1,0)),"")</f>
        <v>3968</v>
      </c>
      <c r="G10" s="197">
        <f>IFERROR(INDEX('FB 콘텐츠 data'!$A$1:$AH$25,MATCH('FB 신규발행'!$A10,'FB 콘텐츠 data'!$AR:$AR,0),MATCH(G$2,'FB 콘텐츠 data'!$A$1:$AH$1,0)),"")</f>
        <v>3660</v>
      </c>
      <c r="H10" s="197">
        <f t="shared" si="0"/>
        <v>241</v>
      </c>
      <c r="I10" s="197">
        <f>IFERROR(INDEX('FB 콘텐츠 data'!$A$1:$AH$25,MATCH('FB 신규발행'!$A10,'FB 콘텐츠 data'!$AR:$AR,0),MATCH(I$2,'FB 콘텐츠 data'!$A$1:$AH$1,0)),"")</f>
        <v>146</v>
      </c>
      <c r="J10" s="197">
        <f>IFERROR(INDEX('FB 콘텐츠 data'!$A$1:$AH$25,MATCH('FB 신규발행'!$A10,'FB 콘텐츠 data'!$AR:$AR,0),MATCH(J$2,'FB 콘텐츠 data'!$A$1:$AH$1,0)),"")</f>
        <v>11</v>
      </c>
      <c r="K10" s="196">
        <f>IFERROR(INDEX('FB 콘텐츠 data'!$A$1:$AR$25,MATCH('FB 신규발행'!$A10,'FB 콘텐츠 data'!$AR:$AR,0),MATCH(K$2,'FB 콘텐츠 data'!$A$1:$AR$1,0)),"")</f>
        <v>0</v>
      </c>
      <c r="L10" s="197" t="str">
        <f>IFERROR(INDEX('FB 콘텐츠 data'!$A$1:$AH$25,MATCH('FB 신규발행'!$A10,'FB 콘텐츠 data'!$AR:$AR,0),MATCH(L$2,'FB 콘텐츠 data'!$A$1:$AH$1,0)),"")</f>
        <v>-</v>
      </c>
      <c r="M10" s="197">
        <f>IFERROR(INDEX('FB 콘텐츠 data'!$A$1:$AH$25,MATCH('FB 신규발행'!$A10,'FB 콘텐츠 data'!$AR:$AR,0),MATCH(M$2,'FB 콘텐츠 data'!$A$1:$AH$1,0)),"")</f>
        <v>51</v>
      </c>
      <c r="N10" s="197">
        <f>IFERROR(INDEX('FB 콘텐츠 data'!$A$1:$AH$25,MATCH('FB 신규발행'!$A10,'FB 콘텐츠 data'!$AR:$AR,0),MATCH(N$2,'FB 콘텐츠 data'!$A$1:$AH$1,0)),"")</f>
        <v>0</v>
      </c>
      <c r="O10" s="197">
        <f>IFERROR(INDEX('FB 콘텐츠 data'!$A$1:$AH$25,MATCH('FB 신규발행'!$A10,'FB 콘텐츠 data'!$AR:$AR,0),MATCH(O$2,'FB 콘텐츠 data'!$A$1:$AH$1,0)),"")</f>
        <v>3</v>
      </c>
      <c r="P10" s="197">
        <f>IFERROR(INDEX('FB 콘텐츠 data'!$A$1:$AH$25,MATCH('FB 신규발행'!$A10,'FB 콘텐츠 data'!$AR:$AR,0),MATCH(P$2,'FB 콘텐츠 data'!$A$1:$AH$1,0)),"")</f>
        <v>30</v>
      </c>
      <c r="Q10" s="197">
        <f>IFERROR(INDEX('FB 콘텐츠 data'!$A$1:$AH$25,MATCH('FB 신규발행'!$A10,'FB 콘텐츠 data'!$AR:$AR,0),MATCH(Q$2,'FB 콘텐츠 data'!$A$1:$AH$1,0)),"")</f>
        <v>81</v>
      </c>
      <c r="R10" s="198">
        <f t="shared" si="1"/>
        <v>6.0735887096774195E-2</v>
      </c>
      <c r="T10" s="125">
        <f t="shared" si="2"/>
        <v>8</v>
      </c>
      <c r="U10" s="125">
        <f t="shared" si="3"/>
        <v>11</v>
      </c>
      <c r="V10" s="137">
        <f t="shared" si="4"/>
        <v>8</v>
      </c>
      <c r="Y10" s="157"/>
    </row>
    <row r="11" spans="1:25" ht="17.45" customHeight="1">
      <c r="A11" s="156">
        <v>9</v>
      </c>
      <c r="B11" s="195">
        <f>IFERROR(INDEX('FB 콘텐츠 data'!AQ:AQ,MATCH('FB 신규발행'!A11,'FB 콘텐츠 data'!AR:AR,0)),"")</f>
        <v>45509</v>
      </c>
      <c r="C11" s="196" t="str">
        <f>IFERROR(INDEX('FB 콘텐츠 data'!$A$1:$AH$25,MATCH('FB 신규발행'!$A11,'FB 콘텐츠 data'!$AR:$AR,0),MATCH(C$2,'FB 콘텐츠 data'!$A$1:$AH$1,0)),"")</f>
        <v>사진</v>
      </c>
      <c r="D11" s="197" t="str">
        <f>IFERROR(INDEX('FB 콘텐츠 data'!$A$1:$AH$25,MATCH('FB 신규발행'!$A11,'FB 콘텐츠 data'!$AR:$AR,0),MATCH(D$2,'FB 콘텐츠 data'!$A$1:$AH$1,0)),"")</f>
        <v>이노드림(게오르크 빌헬름 프리드리히 헤겔)</v>
      </c>
      <c r="E11" s="197">
        <f>IFERROR(INDEX('FB 콘텐츠 data'!$A$1:$AH$25,MATCH('FB 신규발행'!$A11,'FB 콘텐츠 data'!$AR:$AR,0),MATCH(E$2,'FB 콘텐츠 data'!$A$1:$AH$1,0)),"")</f>
        <v>2946</v>
      </c>
      <c r="F11" s="197">
        <f>IFERROR(INDEX('FB 콘텐츠 data'!$A$1:$AH$25,MATCH('FB 신규발행'!$A11,'FB 콘텐츠 data'!$AR:$AR,0),MATCH(F$2,'FB 콘텐츠 data'!$A$1:$AH$1,0)),"")</f>
        <v>2584</v>
      </c>
      <c r="G11" s="197">
        <f>IFERROR(INDEX('FB 콘텐츠 data'!$A$1:$AH$25,MATCH('FB 신규발행'!$A11,'FB 콘텐츠 data'!$AR:$AR,0),MATCH(G$2,'FB 콘텐츠 data'!$A$1:$AH$1,0)),"")</f>
        <v>2556</v>
      </c>
      <c r="H11" s="197">
        <f t="shared" si="0"/>
        <v>146</v>
      </c>
      <c r="I11" s="197">
        <f>IFERROR(INDEX('FB 콘텐츠 data'!$A$1:$AH$25,MATCH('FB 신규발행'!$A11,'FB 콘텐츠 data'!$AR:$AR,0),MATCH(I$2,'FB 콘텐츠 data'!$A$1:$AH$1,0)),"")</f>
        <v>77</v>
      </c>
      <c r="J11" s="197">
        <f>IFERROR(INDEX('FB 콘텐츠 data'!$A$1:$AH$25,MATCH('FB 신규발행'!$A11,'FB 콘텐츠 data'!$AR:$AR,0),MATCH(J$2,'FB 콘텐츠 data'!$A$1:$AH$1,0)),"")</f>
        <v>9</v>
      </c>
      <c r="K11" s="196">
        <f>IFERROR(INDEX('FB 콘텐츠 data'!$A$1:$AR$25,MATCH('FB 신규발행'!$A11,'FB 콘텐츠 data'!$AR:$AR,0),MATCH(K$2,'FB 콘텐츠 data'!$A$1:$AR$1,0)),"")</f>
        <v>0</v>
      </c>
      <c r="L11" s="197" t="str">
        <f>IFERROR(INDEX('FB 콘텐츠 data'!$A$1:$AH$25,MATCH('FB 신규발행'!$A11,'FB 콘텐츠 data'!$AR:$AR,0),MATCH(L$2,'FB 콘텐츠 data'!$A$1:$AH$1,0)),"")</f>
        <v>-</v>
      </c>
      <c r="M11" s="197">
        <f>IFERROR(INDEX('FB 콘텐츠 data'!$A$1:$AH$25,MATCH('FB 신규발행'!$A11,'FB 콘텐츠 data'!$AR:$AR,0),MATCH(M$2,'FB 콘텐츠 data'!$A$1:$AH$1,0)),"")</f>
        <v>36</v>
      </c>
      <c r="N11" s="197">
        <f>IFERROR(INDEX('FB 콘텐츠 data'!$A$1:$AH$25,MATCH('FB 신규발행'!$A11,'FB 콘텐츠 data'!$AR:$AR,0),MATCH(N$2,'FB 콘텐츠 data'!$A$1:$AH$1,0)),"")</f>
        <v>0</v>
      </c>
      <c r="O11" s="197">
        <f>IFERROR(INDEX('FB 콘텐츠 data'!$A$1:$AH$25,MATCH('FB 신규발행'!$A11,'FB 콘텐츠 data'!$AR:$AR,0),MATCH(O$2,'FB 콘텐츠 data'!$A$1:$AH$1,0)),"")</f>
        <v>3</v>
      </c>
      <c r="P11" s="197">
        <f>IFERROR(INDEX('FB 콘텐츠 data'!$A$1:$AH$25,MATCH('FB 신규발행'!$A11,'FB 콘텐츠 data'!$AR:$AR,0),MATCH(P$2,'FB 콘텐츠 data'!$A$1:$AH$1,0)),"")</f>
        <v>21</v>
      </c>
      <c r="Q11" s="197">
        <f>IFERROR(INDEX('FB 콘텐츠 data'!$A$1:$AH$25,MATCH('FB 신규발행'!$A11,'FB 콘텐츠 data'!$AR:$AR,0),MATCH(Q$2,'FB 콘텐츠 data'!$A$1:$AH$1,0)),"")</f>
        <v>57</v>
      </c>
      <c r="R11" s="198">
        <f t="shared" si="1"/>
        <v>5.6501547987616099E-2</v>
      </c>
      <c r="T11" s="125">
        <f t="shared" si="2"/>
        <v>9</v>
      </c>
      <c r="U11" s="125">
        <f t="shared" si="3"/>
        <v>14</v>
      </c>
      <c r="V11" s="137">
        <f t="shared" si="4"/>
        <v>9</v>
      </c>
      <c r="Y11" s="157"/>
    </row>
    <row r="12" spans="1:25" ht="17.45" customHeight="1">
      <c r="A12" s="156">
        <v>10</v>
      </c>
      <c r="B12" s="195">
        <f>IFERROR(INDEX('FB 콘텐츠 data'!AQ:AQ,MATCH('FB 신규발행'!A12,'FB 콘텐츠 data'!AR:AR,0)),"")</f>
        <v>45512</v>
      </c>
      <c r="C12" s="196" t="str">
        <f>IFERROR(INDEX('FB 콘텐츠 data'!$A$1:$AH$25,MATCH('FB 신규발행'!$A12,'FB 콘텐츠 data'!$AR:$AR,0),MATCH(C$2,'FB 콘텐츠 data'!$A$1:$AH$1,0)),"")</f>
        <v>링크</v>
      </c>
      <c r="D12" s="197" t="str">
        <f>IFERROR(INDEX('FB 콘텐츠 data'!$A$1:$AH$25,MATCH('FB 신규발행'!$A12,'FB 콘텐츠 data'!$AR:$AR,0),MATCH(D$2,'FB 콘텐츠 data'!$A$1:$AH$1,0)),"")</f>
        <v>일상 속 석유화학 - 폴리카보네이트 렌즈 *뉴스룸 미러링</v>
      </c>
      <c r="E12" s="197">
        <f>IFERROR(INDEX('FB 콘텐츠 data'!$A$1:$AH$25,MATCH('FB 신규발행'!$A12,'FB 콘텐츠 data'!$AR:$AR,0),MATCH(E$2,'FB 콘텐츠 data'!$A$1:$AH$1,0)),"")</f>
        <v>40662</v>
      </c>
      <c r="F12" s="197">
        <f>IFERROR(INDEX('FB 콘텐츠 data'!$A$1:$AH$25,MATCH('FB 신규발행'!$A12,'FB 콘텐츠 data'!$AR:$AR,0),MATCH(F$2,'FB 콘텐츠 data'!$A$1:$AH$1,0)),"")</f>
        <v>25318</v>
      </c>
      <c r="G12" s="197">
        <f>IFERROR(INDEX('FB 콘텐츠 data'!$A$1:$AH$25,MATCH('FB 신규발행'!$A12,'FB 콘텐츠 data'!$AR:$AR,0),MATCH(G$2,'FB 콘텐츠 data'!$A$1:$AH$1,0)),"")</f>
        <v>1115</v>
      </c>
      <c r="H12" s="197">
        <f t="shared" si="0"/>
        <v>1367</v>
      </c>
      <c r="I12" s="197">
        <f>IFERROR(INDEX('FB 콘텐츠 data'!$A$1:$AH$25,MATCH('FB 신규발행'!$A12,'FB 콘텐츠 data'!$AR:$AR,0),MATCH(I$2,'FB 콘텐츠 data'!$A$1:$AH$1,0)),"")</f>
        <v>242</v>
      </c>
      <c r="J12" s="197">
        <f>IFERROR(INDEX('FB 콘텐츠 data'!$A$1:$AH$25,MATCH('FB 신규발행'!$A12,'FB 콘텐츠 data'!$AR:$AR,0),MATCH(J$2,'FB 콘텐츠 data'!$A$1:$AH$1,0)),"")</f>
        <v>38</v>
      </c>
      <c r="K12" s="196">
        <f>IFERROR(INDEX('FB 콘텐츠 data'!$A$1:$AR$25,MATCH('FB 신규발행'!$A12,'FB 콘텐츠 data'!$AR:$AR,0),MATCH(K$2,'FB 콘텐츠 data'!$A$1:$AR$1,0)),"")</f>
        <v>0</v>
      </c>
      <c r="L12" s="197" t="str">
        <f>IFERROR(INDEX('FB 콘텐츠 data'!$A$1:$AH$25,MATCH('FB 신규발행'!$A12,'FB 콘텐츠 data'!$AR:$AR,0),MATCH(L$2,'FB 콘텐츠 data'!$A$1:$AH$1,0)),"")</f>
        <v>-</v>
      </c>
      <c r="M12" s="197" t="str">
        <f>IFERROR(INDEX('FB 콘텐츠 data'!$A$1:$AH$25,MATCH('FB 신규발행'!$A12,'FB 콘텐츠 data'!$AR:$AR,0),MATCH(M$2,'FB 콘텐츠 data'!$A$1:$AH$1,0)),"")</f>
        <v>-</v>
      </c>
      <c r="N12" s="197">
        <f>IFERROR(INDEX('FB 콘텐츠 data'!$A$1:$AH$25,MATCH('FB 신규발행'!$A12,'FB 콘텐츠 data'!$AR:$AR,0),MATCH(N$2,'FB 콘텐츠 data'!$A$1:$AH$1,0)),"")</f>
        <v>562</v>
      </c>
      <c r="O12" s="197">
        <f>IFERROR(INDEX('FB 콘텐츠 data'!$A$1:$AH$25,MATCH('FB 신규발행'!$A12,'FB 콘텐츠 data'!$AR:$AR,0),MATCH(O$2,'FB 콘텐츠 data'!$A$1:$AH$1,0)),"")</f>
        <v>22</v>
      </c>
      <c r="P12" s="197">
        <f>IFERROR(INDEX('FB 콘텐츠 data'!$A$1:$AH$25,MATCH('FB 신규발행'!$A12,'FB 콘텐츠 data'!$AR:$AR,0),MATCH(P$2,'FB 콘텐츠 data'!$A$1:$AH$1,0)),"")</f>
        <v>503</v>
      </c>
      <c r="Q12" s="197">
        <f>IFERROR(INDEX('FB 콘텐츠 data'!$A$1:$AH$25,MATCH('FB 신규발행'!$A12,'FB 콘텐츠 data'!$AR:$AR,0),MATCH(Q$2,'FB 콘텐츠 data'!$A$1:$AH$1,0)),"")</f>
        <v>1065</v>
      </c>
      <c r="R12" s="198">
        <f t="shared" si="1"/>
        <v>5.3993206414408718E-2</v>
      </c>
      <c r="T12" s="125">
        <f t="shared" si="2"/>
        <v>10</v>
      </c>
      <c r="U12" s="125">
        <f t="shared" si="3"/>
        <v>1</v>
      </c>
      <c r="V12" s="137">
        <f t="shared" si="4"/>
        <v>10</v>
      </c>
      <c r="Y12" s="157"/>
    </row>
    <row r="13" spans="1:25" ht="17.45" customHeight="1">
      <c r="A13" s="156">
        <v>11</v>
      </c>
      <c r="B13" s="195">
        <f>IFERROR(INDEX('FB 콘텐츠 data'!AQ:AQ,MATCH('FB 신규발행'!A13,'FB 콘텐츠 data'!AR:AR,0)),"")</f>
        <v>45526</v>
      </c>
      <c r="C13" s="196" t="str">
        <f>IFERROR(INDEX('FB 콘텐츠 data'!$A$1:$AH$25,MATCH('FB 신규발행'!$A13,'FB 콘텐츠 data'!$AR:$AR,0),MATCH(C$2,'FB 콘텐츠 data'!$A$1:$AH$1,0)),"")</f>
        <v>링크</v>
      </c>
      <c r="D13" s="197" t="str">
        <f>IFERROR(INDEX('FB 콘텐츠 data'!$A$1:$AH$25,MATCH('FB 신규발행'!$A13,'FB 콘텐츠 data'!$AR:$AR,0),MATCH(D$2,'FB 콘텐츠 data'!$A$1:$AH$1,0)),"")</f>
        <v>에너지食 Ep. 3</v>
      </c>
      <c r="E13" s="197">
        <f>IFERROR(INDEX('FB 콘텐츠 data'!$A$1:$AH$25,MATCH('FB 신규발행'!$A13,'FB 콘텐츠 data'!$AR:$AR,0),MATCH(E$2,'FB 콘텐츠 data'!$A$1:$AH$1,0)),"")</f>
        <v>31124</v>
      </c>
      <c r="F13" s="197">
        <f>IFERROR(INDEX('FB 콘텐츠 data'!$A$1:$AH$25,MATCH('FB 신규발행'!$A13,'FB 콘텐츠 data'!$AR:$AR,0),MATCH(F$2,'FB 콘텐츠 data'!$A$1:$AH$1,0)),"")</f>
        <v>18764</v>
      </c>
      <c r="G13" s="197">
        <f>IFERROR(INDEX('FB 콘텐츠 data'!$A$1:$AH$25,MATCH('FB 신규발행'!$A13,'FB 콘텐츠 data'!$AR:$AR,0),MATCH(G$2,'FB 콘텐츠 data'!$A$1:$AH$1,0)),"")</f>
        <v>2984</v>
      </c>
      <c r="H13" s="197">
        <f t="shared" si="0"/>
        <v>1004</v>
      </c>
      <c r="I13" s="197">
        <f>IFERROR(INDEX('FB 콘텐츠 data'!$A$1:$AH$25,MATCH('FB 신규발행'!$A13,'FB 콘텐츠 data'!$AR:$AR,0),MATCH(I$2,'FB 콘텐츠 data'!$A$1:$AH$1,0)),"")</f>
        <v>103</v>
      </c>
      <c r="J13" s="197">
        <f>IFERROR(INDEX('FB 콘텐츠 data'!$A$1:$AH$25,MATCH('FB 신규발행'!$A13,'FB 콘텐츠 data'!$AR:$AR,0),MATCH(J$2,'FB 콘텐츠 data'!$A$1:$AH$1,0)),"")</f>
        <v>19</v>
      </c>
      <c r="K13" s="196">
        <f>IFERROR(INDEX('FB 콘텐츠 data'!$A$1:$AR$25,MATCH('FB 신규발행'!$A13,'FB 콘텐츠 data'!$AR:$AR,0),MATCH(K$2,'FB 콘텐츠 data'!$A$1:$AR$1,0)),"")</f>
        <v>0</v>
      </c>
      <c r="L13" s="197" t="str">
        <f>IFERROR(INDEX('FB 콘텐츠 data'!$A$1:$AH$25,MATCH('FB 신규발행'!$A13,'FB 콘텐츠 data'!$AR:$AR,0),MATCH(L$2,'FB 콘텐츠 data'!$A$1:$AH$1,0)),"")</f>
        <v>-</v>
      </c>
      <c r="M13" s="197" t="str">
        <f>IFERROR(INDEX('FB 콘텐츠 data'!$A$1:$AH$25,MATCH('FB 신규발행'!$A13,'FB 콘텐츠 data'!$AR:$AR,0),MATCH(M$2,'FB 콘텐츠 data'!$A$1:$AH$1,0)),"")</f>
        <v>-</v>
      </c>
      <c r="N13" s="197">
        <f>IFERROR(INDEX('FB 콘텐츠 data'!$A$1:$AH$25,MATCH('FB 신규발행'!$A13,'FB 콘텐츠 data'!$AR:$AR,0),MATCH(N$2,'FB 콘텐츠 data'!$A$1:$AH$1,0)),"")</f>
        <v>250</v>
      </c>
      <c r="O13" s="197">
        <f>IFERROR(INDEX('FB 콘텐츠 data'!$A$1:$AH$25,MATCH('FB 신규발행'!$A13,'FB 콘텐츠 data'!$AR:$AR,0),MATCH(O$2,'FB 콘텐츠 data'!$A$1:$AH$1,0)),"")</f>
        <v>5</v>
      </c>
      <c r="P13" s="197">
        <f>IFERROR(INDEX('FB 콘텐츠 data'!$A$1:$AH$25,MATCH('FB 신규발행'!$A13,'FB 콘텐츠 data'!$AR:$AR,0),MATCH(P$2,'FB 콘텐츠 data'!$A$1:$AH$1,0)),"")</f>
        <v>627</v>
      </c>
      <c r="Q13" s="197">
        <f>IFERROR(INDEX('FB 콘텐츠 data'!$A$1:$AH$25,MATCH('FB 신규발행'!$A13,'FB 콘텐츠 data'!$AR:$AR,0),MATCH(Q$2,'FB 콘텐츠 data'!$A$1:$AH$1,0)),"")</f>
        <v>877</v>
      </c>
      <c r="R13" s="198">
        <f t="shared" si="1"/>
        <v>5.3506714986143677E-2</v>
      </c>
      <c r="T13" s="125">
        <f t="shared" si="2"/>
        <v>11</v>
      </c>
      <c r="U13" s="125">
        <f t="shared" si="3"/>
        <v>3</v>
      </c>
      <c r="V13" s="137">
        <f t="shared" si="4"/>
        <v>11</v>
      </c>
      <c r="Y13" s="157"/>
    </row>
    <row r="14" spans="1:25" ht="17.45" customHeight="1">
      <c r="A14" s="156">
        <v>12</v>
      </c>
      <c r="B14" s="195">
        <f>IFERROR(INDEX('FB 콘텐츠 data'!AQ:AQ,MATCH('FB 신규발행'!A14,'FB 콘텐츠 data'!AR:AR,0)),"")</f>
        <v>45533</v>
      </c>
      <c r="C14" s="196" t="str">
        <f>IFERROR(INDEX('FB 콘텐츠 data'!$A$1:$AH$25,MATCH('FB 신규발행'!$A14,'FB 콘텐츠 data'!$AR:$AR,0),MATCH(C$2,'FB 콘텐츠 data'!$A$1:$AH$1,0)),"")</f>
        <v>사진</v>
      </c>
      <c r="D14" s="197" t="str">
        <f>IFERROR(INDEX('FB 콘텐츠 data'!$A$1:$AH$25,MATCH('FB 신규발행'!$A14,'FB 콘텐츠 data'!$AR:$AR,0),MATCH(D$2,'FB 콘텐츠 data'!$A$1:$AH$1,0)),"")</f>
        <v>행복 Dream 도서관 (세이브더칠드런 게시물 공유)</v>
      </c>
      <c r="E14" s="197">
        <f>IFERROR(INDEX('FB 콘텐츠 data'!$A$1:$AH$25,MATCH('FB 신규발행'!$A14,'FB 콘텐츠 data'!$AR:$AR,0),MATCH(E$2,'FB 콘텐츠 data'!$A$1:$AH$1,0)),"")</f>
        <v>2214</v>
      </c>
      <c r="F14" s="197">
        <f>IFERROR(INDEX('FB 콘텐츠 data'!$A$1:$AH$25,MATCH('FB 신규발행'!$A14,'FB 콘텐츠 data'!$AR:$AR,0),MATCH(F$2,'FB 콘텐츠 data'!$A$1:$AH$1,0)),"")</f>
        <v>2079</v>
      </c>
      <c r="G14" s="197">
        <f>IFERROR(INDEX('FB 콘텐츠 data'!$A$1:$AH$25,MATCH('FB 신규발행'!$A14,'FB 콘텐츠 data'!$AR:$AR,0),MATCH(G$2,'FB 콘텐츠 data'!$A$1:$AH$1,0)),"")</f>
        <v>2079</v>
      </c>
      <c r="H14" s="197">
        <f t="shared" si="0"/>
        <v>57</v>
      </c>
      <c r="I14" s="197">
        <f>IFERROR(INDEX('FB 콘텐츠 data'!$A$1:$AH$25,MATCH('FB 신규발행'!$A14,'FB 콘텐츠 data'!$AR:$AR,0),MATCH(I$2,'FB 콘텐츠 data'!$A$1:$AH$1,0)),"")</f>
        <v>34</v>
      </c>
      <c r="J14" s="197">
        <f>IFERROR(INDEX('FB 콘텐츠 data'!$A$1:$AH$25,MATCH('FB 신규발행'!$A14,'FB 콘텐츠 data'!$AR:$AR,0),MATCH(J$2,'FB 콘텐츠 data'!$A$1:$AH$1,0)),"")</f>
        <v>4</v>
      </c>
      <c r="K14" s="196">
        <f>IFERROR(INDEX('FB 콘텐츠 data'!$A$1:$AR$25,MATCH('FB 신규발행'!$A14,'FB 콘텐츠 data'!$AR:$AR,0),MATCH(K$2,'FB 콘텐츠 data'!$A$1:$AR$1,0)),"")</f>
        <v>0</v>
      </c>
      <c r="L14" s="197" t="str">
        <f>IFERROR(INDEX('FB 콘텐츠 data'!$A$1:$AH$25,MATCH('FB 신규발행'!$A14,'FB 콘텐츠 data'!$AR:$AR,0),MATCH(L$2,'FB 콘텐츠 data'!$A$1:$AH$1,0)),"")</f>
        <v>-</v>
      </c>
      <c r="M14" s="197" t="str">
        <f>IFERROR(INDEX('FB 콘텐츠 data'!$A$1:$AH$25,MATCH('FB 신규발행'!$A14,'FB 콘텐츠 data'!$AR:$AR,0),MATCH(M$2,'FB 콘텐츠 data'!$A$1:$AH$1,0)),"")</f>
        <v>-</v>
      </c>
      <c r="N14" s="197">
        <f>IFERROR(INDEX('FB 콘텐츠 data'!$A$1:$AH$25,MATCH('FB 신규발행'!$A14,'FB 콘텐츠 data'!$AR:$AR,0),MATCH(N$2,'FB 콘텐츠 data'!$A$1:$AH$1,0)),"")</f>
        <v>1</v>
      </c>
      <c r="O14" s="197">
        <f>IFERROR(INDEX('FB 콘텐츠 data'!$A$1:$AH$25,MATCH('FB 신규발행'!$A14,'FB 콘텐츠 data'!$AR:$AR,0),MATCH(O$2,'FB 콘텐츠 data'!$A$1:$AH$1,0)),"")</f>
        <v>0</v>
      </c>
      <c r="P14" s="197">
        <f>IFERROR(INDEX('FB 콘텐츠 data'!$A$1:$AH$25,MATCH('FB 신규발행'!$A14,'FB 콘텐츠 data'!$AR:$AR,0),MATCH(P$2,'FB 콘텐츠 data'!$A$1:$AH$1,0)),"")</f>
        <v>15</v>
      </c>
      <c r="Q14" s="197">
        <f>IFERROR(INDEX('FB 콘텐츠 data'!$A$1:$AH$25,MATCH('FB 신규발행'!$A14,'FB 콘텐츠 data'!$AR:$AR,0),MATCH(Q$2,'FB 콘텐츠 data'!$A$1:$AH$1,0)),"")</f>
        <v>19</v>
      </c>
      <c r="R14" s="198">
        <f t="shared" si="1"/>
        <v>2.7417027417027416E-2</v>
      </c>
      <c r="T14" s="125">
        <f t="shared" si="2"/>
        <v>12</v>
      </c>
      <c r="U14" s="125">
        <f t="shared" si="3"/>
        <v>15</v>
      </c>
      <c r="V14" s="137">
        <f t="shared" si="4"/>
        <v>12</v>
      </c>
      <c r="Y14" s="157"/>
    </row>
    <row r="15" spans="1:25" ht="17.45" customHeight="1">
      <c r="A15" s="156">
        <v>13</v>
      </c>
      <c r="B15" s="195">
        <f>IFERROR(INDEX('FB 콘텐츠 data'!AQ:AQ,MATCH('FB 신규발행'!A15,'FB 콘텐츠 data'!AR:AR,0)),"")</f>
        <v>45511</v>
      </c>
      <c r="C15" s="196" t="str">
        <f>IFERROR(INDEX('FB 콘텐츠 data'!$A$1:$AH$25,MATCH('FB 신규발행'!$A15,'FB 콘텐츠 data'!$AR:$AR,0),MATCH(C$2,'FB 콘텐츠 data'!$A$1:$AH$1,0)),"")</f>
        <v>동영상</v>
      </c>
      <c r="D15" s="197" t="str">
        <f>IFERROR(INDEX('FB 콘텐츠 data'!$A$1:$AH$25,MATCH('FB 신규발행'!$A15,'FB 콘텐츠 data'!$AR:$AR,0),MATCH(D$2,'FB 콘텐츠 data'!$A$1:$AH$1,0)),"")</f>
        <v>이야기를 걷다 Ep. 시장</v>
      </c>
      <c r="E15" s="197">
        <f>IFERROR(INDEX('FB 콘텐츠 data'!$A$1:$AH$25,MATCH('FB 신규발행'!$A15,'FB 콘텐츠 data'!$AR:$AR,0),MATCH(E$2,'FB 콘텐츠 data'!$A$1:$AH$1,0)),"")</f>
        <v>36310</v>
      </c>
      <c r="F15" s="197">
        <f>IFERROR(INDEX('FB 콘텐츠 data'!$A$1:$AH$25,MATCH('FB 신규발행'!$A15,'FB 콘텐츠 data'!$AR:$AR,0),MATCH(F$2,'FB 콘텐츠 data'!$A$1:$AH$1,0)),"")</f>
        <v>18689</v>
      </c>
      <c r="G15" s="197">
        <f>IFERROR(INDEX('FB 콘텐츠 data'!$A$1:$AH$25,MATCH('FB 신규발행'!$A15,'FB 콘텐츠 data'!$AR:$AR,0),MATCH(G$2,'FB 콘텐츠 data'!$A$1:$AH$1,0)),"")</f>
        <v>1825</v>
      </c>
      <c r="H15" s="197">
        <f t="shared" si="0"/>
        <v>357</v>
      </c>
      <c r="I15" s="197">
        <f>IFERROR(INDEX('FB 콘텐츠 data'!$A$1:$AH$25,MATCH('FB 신규발행'!$A15,'FB 콘텐츠 data'!$AR:$AR,0),MATCH(I$2,'FB 콘텐츠 data'!$A$1:$AH$1,0)),"")</f>
        <v>130</v>
      </c>
      <c r="J15" s="197">
        <f>IFERROR(INDEX('FB 콘텐츠 data'!$A$1:$AH$25,MATCH('FB 신규발행'!$A15,'FB 콘텐츠 data'!$AR:$AR,0),MATCH(J$2,'FB 콘텐츠 data'!$A$1:$AH$1,0)),"")</f>
        <v>9</v>
      </c>
      <c r="K15" s="196">
        <f>IFERROR(INDEX('FB 콘텐츠 data'!$A$1:$AR$25,MATCH('FB 신규발행'!$A15,'FB 콘텐츠 data'!$AR:$AR,0),MATCH(K$2,'FB 콘텐츠 data'!$A$1:$AR$1,0)),"")</f>
        <v>7.0060000000000002</v>
      </c>
      <c r="L15" s="197">
        <f>IFERROR(INDEX('FB 콘텐츠 data'!$A$1:$AH$25,MATCH('FB 신규발행'!$A15,'FB 콘텐츠 data'!$AR:$AR,0),MATCH(L$2,'FB 콘텐츠 data'!$A$1:$AH$1,0)),"")</f>
        <v>12739</v>
      </c>
      <c r="M15" s="197" t="str">
        <f>IFERROR(INDEX('FB 콘텐츠 data'!$A$1:$AH$25,MATCH('FB 신규발행'!$A15,'FB 콘텐츠 data'!$AR:$AR,0),MATCH(M$2,'FB 콘텐츠 data'!$A$1:$AH$1,0)),"")</f>
        <v>-</v>
      </c>
      <c r="N15" s="197">
        <f>IFERROR(INDEX('FB 콘텐츠 data'!$A$1:$AH$25,MATCH('FB 신규발행'!$A15,'FB 콘텐츠 data'!$AR:$AR,0),MATCH(N$2,'FB 콘텐츠 data'!$A$1:$AH$1,0)),"")</f>
        <v>2</v>
      </c>
      <c r="O15" s="197">
        <f>IFERROR(INDEX('FB 콘텐츠 data'!$A$1:$AH$25,MATCH('FB 신규발행'!$A15,'FB 콘텐츠 data'!$AR:$AR,0),MATCH(O$2,'FB 콘텐츠 data'!$A$1:$AH$1,0)),"")</f>
        <v>2</v>
      </c>
      <c r="P15" s="197">
        <f>IFERROR(INDEX('FB 콘텐츠 data'!$A$1:$AH$25,MATCH('FB 신규발행'!$A15,'FB 콘텐츠 data'!$AR:$AR,0),MATCH(P$2,'FB 콘텐츠 data'!$A$1:$AH$1,0)),"")</f>
        <v>142</v>
      </c>
      <c r="Q15" s="197">
        <f>IFERROR(INDEX('FB 콘텐츠 data'!$A$1:$AH$25,MATCH('FB 신규발행'!$A15,'FB 콘텐츠 data'!$AR:$AR,0),MATCH(Q$2,'FB 콘텐츠 data'!$A$1:$AH$1,0)),"")</f>
        <v>216</v>
      </c>
      <c r="R15" s="198">
        <f t="shared" si="1"/>
        <v>1.9102145647172133E-2</v>
      </c>
      <c r="T15" s="125">
        <f t="shared" si="2"/>
        <v>13</v>
      </c>
      <c r="U15" s="125">
        <f t="shared" si="3"/>
        <v>2</v>
      </c>
      <c r="V15" s="137">
        <f t="shared" si="4"/>
        <v>13</v>
      </c>
      <c r="Y15" s="157"/>
    </row>
    <row r="16" spans="1:25" ht="17.45" customHeight="1">
      <c r="A16" s="156">
        <v>14</v>
      </c>
      <c r="B16" s="195">
        <f>IFERROR(INDEX('FB 콘텐츠 data'!AQ:AQ,MATCH('FB 신규발행'!A16,'FB 콘텐츠 data'!AR:AR,0)),"")</f>
        <v>45530</v>
      </c>
      <c r="C16" s="196" t="str">
        <f>IFERROR(INDEX('FB 콘텐츠 data'!$A$1:$AH$25,MATCH('FB 신규발행'!$A16,'FB 콘텐츠 data'!$AR:$AR,0),MATCH(C$2,'FB 콘텐츠 data'!$A$1:$AH$1,0)),"")</f>
        <v>동영상</v>
      </c>
      <c r="D16" s="197" t="str">
        <f>IFERROR(INDEX('FB 콘텐츠 data'!$A$1:$AH$25,MATCH('FB 신규발행'!$A16,'FB 콘텐츠 data'!$AR:$AR,0),MATCH(D$2,'FB 콘텐츠 data'!$A$1:$AH$1,0)),"")</f>
        <v>2024 울산포럼 홍보 영상</v>
      </c>
      <c r="E16" s="197">
        <f>IFERROR(INDEX('FB 콘텐츠 data'!$A$1:$AH$25,MATCH('FB 신규발행'!$A16,'FB 콘텐츠 data'!$AR:$AR,0),MATCH(E$2,'FB 콘텐츠 data'!$A$1:$AH$1,0)),"")</f>
        <v>30700</v>
      </c>
      <c r="F16" s="197">
        <f>IFERROR(INDEX('FB 콘텐츠 data'!$A$1:$AH$25,MATCH('FB 신규발행'!$A16,'FB 콘텐츠 data'!$AR:$AR,0),MATCH(F$2,'FB 콘텐츠 data'!$A$1:$AH$1,0)),"")</f>
        <v>17440</v>
      </c>
      <c r="G16" s="197">
        <f>IFERROR(INDEX('FB 콘텐츠 data'!$A$1:$AH$25,MATCH('FB 신규발행'!$A16,'FB 콘텐츠 data'!$AR:$AR,0),MATCH(G$2,'FB 콘텐츠 data'!$A$1:$AH$1,0)),"")</f>
        <v>1541</v>
      </c>
      <c r="H16" s="197">
        <f t="shared" si="0"/>
        <v>292</v>
      </c>
      <c r="I16" s="197">
        <f>IFERROR(INDEX('FB 콘텐츠 data'!$A$1:$AH$25,MATCH('FB 신규발행'!$A16,'FB 콘텐츠 data'!$AR:$AR,0),MATCH(I$2,'FB 콘텐츠 data'!$A$1:$AH$1,0)),"")</f>
        <v>144</v>
      </c>
      <c r="J16" s="197">
        <f>IFERROR(INDEX('FB 콘텐츠 data'!$A$1:$AH$25,MATCH('FB 신규발행'!$A16,'FB 콘텐츠 data'!$AR:$AR,0),MATCH(J$2,'FB 콘텐츠 data'!$A$1:$AH$1,0)),"")</f>
        <v>2</v>
      </c>
      <c r="K16" s="196">
        <f>IFERROR(INDEX('FB 콘텐츠 data'!$A$1:$AR$25,MATCH('FB 신규발행'!$A16,'FB 콘텐츠 data'!$AR:$AR,0),MATCH(K$2,'FB 콘텐츠 data'!$A$1:$AR$1,0)),"")</f>
        <v>7.2949999999999999</v>
      </c>
      <c r="L16" s="197">
        <f>IFERROR(INDEX('FB 콘텐츠 data'!$A$1:$AH$25,MATCH('FB 신규발행'!$A16,'FB 콘텐츠 data'!$AR:$AR,0),MATCH(L$2,'FB 콘텐츠 data'!$A$1:$AH$1,0)),"")</f>
        <v>11092</v>
      </c>
      <c r="M16" s="197" t="str">
        <f>IFERROR(INDEX('FB 콘텐츠 data'!$A$1:$AH$25,MATCH('FB 신규발행'!$A16,'FB 콘텐츠 data'!$AR:$AR,0),MATCH(M$2,'FB 콘텐츠 data'!$A$1:$AH$1,0)),"")</f>
        <v>-</v>
      </c>
      <c r="N16" s="197">
        <f>IFERROR(INDEX('FB 콘텐츠 data'!$A$1:$AH$25,MATCH('FB 신규발행'!$A16,'FB 콘텐츠 data'!$AR:$AR,0),MATCH(N$2,'FB 콘텐츠 data'!$A$1:$AH$1,0)),"")</f>
        <v>15</v>
      </c>
      <c r="O16" s="197">
        <f>IFERROR(INDEX('FB 콘텐츠 data'!$A$1:$AH$25,MATCH('FB 신규발행'!$A16,'FB 콘텐츠 data'!$AR:$AR,0),MATCH(O$2,'FB 콘텐츠 data'!$A$1:$AH$1,0)),"")</f>
        <v>0</v>
      </c>
      <c r="P16" s="197">
        <f>IFERROR(INDEX('FB 콘텐츠 data'!$A$1:$AH$25,MATCH('FB 신규발행'!$A16,'FB 콘텐츠 data'!$AR:$AR,0),MATCH(P$2,'FB 콘텐츠 data'!$A$1:$AH$1,0)),"")</f>
        <v>84</v>
      </c>
      <c r="Q16" s="197">
        <f>IFERROR(INDEX('FB 콘텐츠 data'!$A$1:$AH$25,MATCH('FB 신규발행'!$A16,'FB 콘텐츠 data'!$AR:$AR,0),MATCH(Q$2,'FB 콘텐츠 data'!$A$1:$AH$1,0)),"")</f>
        <v>146</v>
      </c>
      <c r="R16" s="198">
        <f t="shared" si="1"/>
        <v>1.6743119266055047E-2</v>
      </c>
      <c r="T16" s="125">
        <f t="shared" si="2"/>
        <v>14</v>
      </c>
      <c r="U16" s="125">
        <f t="shared" si="3"/>
        <v>4</v>
      </c>
      <c r="V16" s="137">
        <f t="shared" si="4"/>
        <v>14</v>
      </c>
      <c r="Y16" s="157"/>
    </row>
    <row r="17" spans="1:25" ht="17.45" customHeight="1">
      <c r="A17" s="156">
        <v>15</v>
      </c>
      <c r="B17" s="195">
        <f>IFERROR(INDEX('FB 콘텐츠 data'!AQ:AQ,MATCH('FB 신규발행'!A17,'FB 콘텐츠 data'!AR:AR,0)),"")</f>
        <v>45524</v>
      </c>
      <c r="C17" s="196" t="str">
        <f>IFERROR(INDEX('FB 콘텐츠 data'!$A$1:$AH$25,MATCH('FB 신규발행'!$A17,'FB 콘텐츠 data'!$AR:$AR,0),MATCH(C$2,'FB 콘텐츠 data'!$A$1:$AH$1,0)),"")</f>
        <v>동영상</v>
      </c>
      <c r="D17" s="197" t="str">
        <f>IFERROR(INDEX('FB 콘텐츠 data'!$A$1:$AH$25,MATCH('FB 신규발행'!$A17,'FB 콘텐츠 data'!$AR:$AR,0),MATCH(D$2,'FB 콘텐츠 data'!$A$1:$AH$1,0)),"")</f>
        <v>슼-떠나요 Ep. 헝가리</v>
      </c>
      <c r="E17" s="197">
        <f>IFERROR(INDEX('FB 콘텐츠 data'!$A$1:$AH$25,MATCH('FB 신규발행'!$A17,'FB 콘텐츠 data'!$AR:$AR,0),MATCH(E$2,'FB 콘텐츠 data'!$A$1:$AH$1,0)),"")</f>
        <v>22894</v>
      </c>
      <c r="F17" s="197">
        <f>IFERROR(INDEX('FB 콘텐츠 data'!$A$1:$AH$25,MATCH('FB 신규발행'!$A17,'FB 콘텐츠 data'!$AR:$AR,0),MATCH(F$2,'FB 콘텐츠 data'!$A$1:$AH$1,0)),"")</f>
        <v>14101</v>
      </c>
      <c r="G17" s="197">
        <f>IFERROR(INDEX('FB 콘텐츠 data'!$A$1:$AH$25,MATCH('FB 신규발행'!$A17,'FB 콘텐츠 data'!$AR:$AR,0),MATCH(G$2,'FB 콘텐츠 data'!$A$1:$AH$1,0)),"")</f>
        <v>616</v>
      </c>
      <c r="H17" s="197">
        <f t="shared" si="0"/>
        <v>218</v>
      </c>
      <c r="I17" s="197">
        <f>IFERROR(INDEX('FB 콘텐츠 data'!$A$1:$AH$25,MATCH('FB 신규발행'!$A17,'FB 콘텐츠 data'!$AR:$AR,0),MATCH(I$2,'FB 콘텐츠 data'!$A$1:$AH$1,0)),"")</f>
        <v>139</v>
      </c>
      <c r="J17" s="197">
        <f>IFERROR(INDEX('FB 콘텐츠 data'!$A$1:$AH$25,MATCH('FB 신규발행'!$A17,'FB 콘텐츠 data'!$AR:$AR,0),MATCH(J$2,'FB 콘텐츠 data'!$A$1:$AH$1,0)),"")</f>
        <v>8</v>
      </c>
      <c r="K17" s="196">
        <f>IFERROR(INDEX('FB 콘텐츠 data'!$A$1:$AR$25,MATCH('FB 신규발행'!$A17,'FB 콘텐츠 data'!$AR:$AR,0),MATCH(K$2,'FB 콘텐츠 data'!$A$1:$AR$1,0)),"")</f>
        <v>21.198</v>
      </c>
      <c r="L17" s="197">
        <f>IFERROR(INDEX('FB 콘텐츠 data'!$A$1:$AH$25,MATCH('FB 신규발행'!$A17,'FB 콘텐츠 data'!$AR:$AR,0),MATCH(L$2,'FB 콘텐츠 data'!$A$1:$AH$1,0)),"")</f>
        <v>5772</v>
      </c>
      <c r="M17" s="197" t="str">
        <f>IFERROR(INDEX('FB 콘텐츠 data'!$A$1:$AH$25,MATCH('FB 신규발행'!$A17,'FB 콘텐츠 data'!$AR:$AR,0),MATCH(M$2,'FB 콘텐츠 data'!$A$1:$AH$1,0)),"")</f>
        <v>-</v>
      </c>
      <c r="N17" s="197">
        <f>IFERROR(INDEX('FB 콘텐츠 data'!$A$1:$AH$25,MATCH('FB 신규발행'!$A17,'FB 콘텐츠 data'!$AR:$AR,0),MATCH(N$2,'FB 콘텐츠 data'!$A$1:$AH$1,0)),"")</f>
        <v>4</v>
      </c>
      <c r="O17" s="197">
        <f>IFERROR(INDEX('FB 콘텐츠 data'!$A$1:$AH$25,MATCH('FB 신규발행'!$A17,'FB 콘텐츠 data'!$AR:$AR,0),MATCH(O$2,'FB 콘텐츠 data'!$A$1:$AH$1,0)),"")</f>
        <v>2</v>
      </c>
      <c r="P17" s="197">
        <f>IFERROR(INDEX('FB 콘텐츠 data'!$A$1:$AH$25,MATCH('FB 신규발행'!$A17,'FB 콘텐츠 data'!$AR:$AR,0),MATCH(P$2,'FB 콘텐츠 data'!$A$1:$AH$1,0)),"")</f>
        <v>39</v>
      </c>
      <c r="Q17" s="197">
        <f>IFERROR(INDEX('FB 콘텐츠 data'!$A$1:$AH$25,MATCH('FB 신규발행'!$A17,'FB 콘텐츠 data'!$AR:$AR,0),MATCH(Q$2,'FB 콘텐츠 data'!$A$1:$AH$1,0)),"")</f>
        <v>69</v>
      </c>
      <c r="R17" s="198">
        <f t="shared" si="1"/>
        <v>1.5459896461243884E-2</v>
      </c>
      <c r="T17" s="125">
        <f t="shared" si="2"/>
        <v>15</v>
      </c>
      <c r="U17" s="125">
        <f t="shared" si="3"/>
        <v>6</v>
      </c>
      <c r="V17" s="137">
        <f t="shared" si="4"/>
        <v>15</v>
      </c>
      <c r="Y17" s="157"/>
    </row>
    <row r="18" spans="1:25" ht="17.45" customHeight="1">
      <c r="A18" s="156">
        <v>16</v>
      </c>
      <c r="B18" s="195" t="str">
        <f>IFERROR(INDEX('FB 콘텐츠 data'!AQ:AQ,MATCH('FB 신규발행'!A18,'FB 콘텐츠 data'!AR:AR,0)),"")</f>
        <v/>
      </c>
      <c r="C18" s="196" t="str">
        <f>IFERROR(INDEX('FB 콘텐츠 data'!$A$1:$AH$25,MATCH('FB 신규발행'!$A18,'FB 콘텐츠 data'!$AR:$AR,0),MATCH(C$2,'FB 콘텐츠 data'!$A$1:$AH$1,0)),"")</f>
        <v/>
      </c>
      <c r="D18" s="197" t="str">
        <f>IFERROR(INDEX('FB 콘텐츠 data'!$A$1:$AH$25,MATCH('FB 신규발행'!$A18,'FB 콘텐츠 data'!$AR:$AR,0),MATCH(D$2,'FB 콘텐츠 data'!$A$1:$AH$1,0)),"")</f>
        <v/>
      </c>
      <c r="E18" s="197" t="str">
        <f>IFERROR(INDEX('FB 콘텐츠 data'!$A$1:$AH$25,MATCH('FB 신규발행'!$A18,'FB 콘텐츠 data'!$AR:$AR,0),MATCH(E$2,'FB 콘텐츠 data'!$A$1:$AH$1,0)),"")</f>
        <v/>
      </c>
      <c r="F18" s="197" t="str">
        <f>IFERROR(INDEX('FB 콘텐츠 data'!$A$1:$AH$25,MATCH('FB 신규발행'!$A18,'FB 콘텐츠 data'!$AR:$AR,0),MATCH(F$2,'FB 콘텐츠 data'!$A$1:$AH$1,0)),"")</f>
        <v/>
      </c>
      <c r="G18" s="197" t="str">
        <f>IFERROR(INDEX('FB 콘텐츠 data'!$A$1:$AH$25,MATCH('FB 신규발행'!$A18,'FB 콘텐츠 data'!$AR:$AR,0),MATCH(G$2,'FB 콘텐츠 data'!$A$1:$AH$1,0)),"")</f>
        <v/>
      </c>
      <c r="H18" s="197" t="str">
        <f t="shared" si="0"/>
        <v/>
      </c>
      <c r="I18" s="197" t="str">
        <f>IFERROR(INDEX('FB 콘텐츠 data'!$A$1:$AH$25,MATCH('FB 신규발행'!$A18,'FB 콘텐츠 data'!$AR:$AR,0),MATCH(I$2,'FB 콘텐츠 data'!$A$1:$AH$1,0)),"")</f>
        <v/>
      </c>
      <c r="J18" s="197" t="str">
        <f>IFERROR(INDEX('FB 콘텐츠 data'!$A$1:$AH$25,MATCH('FB 신규발행'!$A18,'FB 콘텐츠 data'!$AR:$AR,0),MATCH(J$2,'FB 콘텐츠 data'!$A$1:$AH$1,0)),"")</f>
        <v/>
      </c>
      <c r="K18" s="196" t="str">
        <f>IFERROR(INDEX('FB 콘텐츠 data'!$A$1:$AR$25,MATCH('FB 신규발행'!$A18,'FB 콘텐츠 data'!$AR:$AR,0),MATCH(K$2,'FB 콘텐츠 data'!$A$1:$AR$1,0)),"")</f>
        <v/>
      </c>
      <c r="L18" s="197" t="str">
        <f>IFERROR(INDEX('FB 콘텐츠 data'!$A$1:$AH$25,MATCH('FB 신규발행'!$A18,'FB 콘텐츠 data'!$AR:$AR,0),MATCH(L$2,'FB 콘텐츠 data'!$A$1:$AH$1,0)),"")</f>
        <v/>
      </c>
      <c r="M18" s="197" t="str">
        <f>IFERROR(INDEX('FB 콘텐츠 data'!$A$1:$AH$25,MATCH('FB 신규발행'!$A18,'FB 콘텐츠 data'!$AR:$AR,0),MATCH(M$2,'FB 콘텐츠 data'!$A$1:$AH$1,0)),"")</f>
        <v/>
      </c>
      <c r="N18" s="197" t="str">
        <f>IFERROR(INDEX('FB 콘텐츠 data'!$A$1:$AH$25,MATCH('FB 신규발행'!$A18,'FB 콘텐츠 data'!$AR:$AR,0),MATCH(N$2,'FB 콘텐츠 data'!$A$1:$AH$1,0)),"")</f>
        <v/>
      </c>
      <c r="O18" s="197" t="str">
        <f>IFERROR(INDEX('FB 콘텐츠 data'!$A$1:$AH$25,MATCH('FB 신규발행'!$A18,'FB 콘텐츠 data'!$AR:$AR,0),MATCH(O$2,'FB 콘텐츠 data'!$A$1:$AH$1,0)),"")</f>
        <v/>
      </c>
      <c r="P18" s="197" t="str">
        <f>IFERROR(INDEX('FB 콘텐츠 data'!$A$1:$AH$25,MATCH('FB 신규발행'!$A18,'FB 콘텐츠 data'!$AR:$AR,0),MATCH(P$2,'FB 콘텐츠 data'!$A$1:$AH$1,0)),"")</f>
        <v/>
      </c>
      <c r="Q18" s="197" t="str">
        <f>IFERROR(INDEX('FB 콘텐츠 data'!$A$1:$AH$25,MATCH('FB 신규발행'!$A18,'FB 콘텐츠 data'!$AR:$AR,0),MATCH(Q$2,'FB 콘텐츠 data'!$A$1:$AH$1,0)),"")</f>
        <v/>
      </c>
      <c r="R18" s="198" t="str">
        <f t="shared" si="1"/>
        <v/>
      </c>
      <c r="T18" s="125" t="str">
        <f t="shared" si="2"/>
        <v/>
      </c>
      <c r="U18" s="125" t="str">
        <f t="shared" si="3"/>
        <v/>
      </c>
      <c r="V18" s="137" t="str">
        <f t="shared" si="4"/>
        <v/>
      </c>
      <c r="Y18" s="157"/>
    </row>
    <row r="19" spans="1:25" ht="17.45" customHeight="1">
      <c r="A19" s="156">
        <v>17</v>
      </c>
      <c r="B19" s="195" t="str">
        <f>IFERROR(INDEX('FB 콘텐츠 data'!AQ:AQ,MATCH('FB 신규발행'!A19,'FB 콘텐츠 data'!AR:AR,0)),"")</f>
        <v/>
      </c>
      <c r="C19" s="196" t="str">
        <f>IFERROR(INDEX('FB 콘텐츠 data'!$A$1:$AH$25,MATCH('FB 신규발행'!$A19,'FB 콘텐츠 data'!$AR:$AR,0),MATCH(C$2,'FB 콘텐츠 data'!$A$1:$AH$1,0)),"")</f>
        <v/>
      </c>
      <c r="D19" s="197" t="str">
        <f>IFERROR(INDEX('FB 콘텐츠 data'!$A$1:$AH$25,MATCH('FB 신규발행'!$A19,'FB 콘텐츠 data'!$AR:$AR,0),MATCH(D$2,'FB 콘텐츠 data'!$A$1:$AH$1,0)),"")</f>
        <v/>
      </c>
      <c r="E19" s="197" t="str">
        <f>IFERROR(INDEX('FB 콘텐츠 data'!$A$1:$AH$25,MATCH('FB 신규발행'!$A19,'FB 콘텐츠 data'!$AR:$AR,0),MATCH(E$2,'FB 콘텐츠 data'!$A$1:$AH$1,0)),"")</f>
        <v/>
      </c>
      <c r="F19" s="197" t="str">
        <f>IFERROR(INDEX('FB 콘텐츠 data'!$A$1:$AH$25,MATCH('FB 신규발행'!$A19,'FB 콘텐츠 data'!$AR:$AR,0),MATCH(F$2,'FB 콘텐츠 data'!$A$1:$AH$1,0)),"")</f>
        <v/>
      </c>
      <c r="G19" s="197" t="str">
        <f>IFERROR(INDEX('FB 콘텐츠 data'!$A$1:$AH$25,MATCH('FB 신규발행'!$A19,'FB 콘텐츠 data'!$AR:$AR,0),MATCH(G$2,'FB 콘텐츠 data'!$A$1:$AH$1,0)),"")</f>
        <v/>
      </c>
      <c r="H19" s="197" t="str">
        <f t="shared" si="0"/>
        <v/>
      </c>
      <c r="I19" s="197" t="str">
        <f>IFERROR(INDEX('FB 콘텐츠 data'!$A$1:$AH$25,MATCH('FB 신규발행'!$A19,'FB 콘텐츠 data'!$AR:$AR,0),MATCH(I$2,'FB 콘텐츠 data'!$A$1:$AH$1,0)),"")</f>
        <v/>
      </c>
      <c r="J19" s="197" t="str">
        <f>IFERROR(INDEX('FB 콘텐츠 data'!$A$1:$AH$25,MATCH('FB 신규발행'!$A19,'FB 콘텐츠 data'!$AR:$AR,0),MATCH(J$2,'FB 콘텐츠 data'!$A$1:$AH$1,0)),"")</f>
        <v/>
      </c>
      <c r="K19" s="196" t="str">
        <f>IFERROR(INDEX('FB 콘텐츠 data'!$A$1:$AR$25,MATCH('FB 신규발행'!$A19,'FB 콘텐츠 data'!$AR:$AR,0),MATCH(K$2,'FB 콘텐츠 data'!$A$1:$AR$1,0)),"")</f>
        <v/>
      </c>
      <c r="L19" s="197" t="str">
        <f>IFERROR(INDEX('FB 콘텐츠 data'!$A$1:$AH$25,MATCH('FB 신규발행'!$A19,'FB 콘텐츠 data'!$AR:$AR,0),MATCH(L$2,'FB 콘텐츠 data'!$A$1:$AH$1,0)),"")</f>
        <v/>
      </c>
      <c r="M19" s="197" t="str">
        <f>IFERROR(INDEX('FB 콘텐츠 data'!$A$1:$AH$25,MATCH('FB 신규발행'!$A19,'FB 콘텐츠 data'!$AR:$AR,0),MATCH(M$2,'FB 콘텐츠 data'!$A$1:$AH$1,0)),"")</f>
        <v/>
      </c>
      <c r="N19" s="197" t="str">
        <f>IFERROR(INDEX('FB 콘텐츠 data'!$A$1:$AH$25,MATCH('FB 신규발행'!$A19,'FB 콘텐츠 data'!$AR:$AR,0),MATCH(N$2,'FB 콘텐츠 data'!$A$1:$AH$1,0)),"")</f>
        <v/>
      </c>
      <c r="O19" s="197" t="str">
        <f>IFERROR(INDEX('FB 콘텐츠 data'!$A$1:$AH$25,MATCH('FB 신규발행'!$A19,'FB 콘텐츠 data'!$AR:$AR,0),MATCH(O$2,'FB 콘텐츠 data'!$A$1:$AH$1,0)),"")</f>
        <v/>
      </c>
      <c r="P19" s="197" t="str">
        <f>IFERROR(INDEX('FB 콘텐츠 data'!$A$1:$AH$25,MATCH('FB 신규발행'!$A19,'FB 콘텐츠 data'!$AR:$AR,0),MATCH(P$2,'FB 콘텐츠 data'!$A$1:$AH$1,0)),"")</f>
        <v/>
      </c>
      <c r="Q19" s="197" t="str">
        <f>IFERROR(INDEX('FB 콘텐츠 data'!$A$1:$AH$25,MATCH('FB 신규발행'!$A19,'FB 콘텐츠 data'!$AR:$AR,0),MATCH(Q$2,'FB 콘텐츠 data'!$A$1:$AH$1,0)),"")</f>
        <v/>
      </c>
      <c r="R19" s="198" t="str">
        <f t="shared" si="1"/>
        <v/>
      </c>
      <c r="T19" s="125" t="str">
        <f t="shared" si="2"/>
        <v/>
      </c>
      <c r="U19" s="125" t="str">
        <f t="shared" si="3"/>
        <v/>
      </c>
      <c r="V19" s="137" t="str">
        <f t="shared" si="4"/>
        <v/>
      </c>
      <c r="Y19" s="157"/>
    </row>
    <row r="20" spans="1:25" ht="17.45" customHeight="1">
      <c r="A20" s="156">
        <v>18</v>
      </c>
      <c r="B20" s="195" t="str">
        <f>IFERROR(INDEX('FB 콘텐츠 data'!AQ:AQ,MATCH('FB 신규발행'!A20,'FB 콘텐츠 data'!AR:AR,0)),"")</f>
        <v/>
      </c>
      <c r="C20" s="196" t="str">
        <f>IFERROR(INDEX('FB 콘텐츠 data'!$A$1:$AH$25,MATCH('FB 신규발행'!$A20,'FB 콘텐츠 data'!$AR:$AR,0),MATCH(C$2,'FB 콘텐츠 data'!$A$1:$AH$1,0)),"")</f>
        <v/>
      </c>
      <c r="D20" s="197" t="str">
        <f>IFERROR(INDEX('FB 콘텐츠 data'!$A$1:$AH$25,MATCH('FB 신규발행'!$A20,'FB 콘텐츠 data'!$AR:$AR,0),MATCH(D$2,'FB 콘텐츠 data'!$A$1:$AH$1,0)),"")</f>
        <v/>
      </c>
      <c r="E20" s="197" t="str">
        <f>IFERROR(INDEX('FB 콘텐츠 data'!$A$1:$AH$25,MATCH('FB 신규발행'!$A20,'FB 콘텐츠 data'!$AR:$AR,0),MATCH(E$2,'FB 콘텐츠 data'!$A$1:$AH$1,0)),"")</f>
        <v/>
      </c>
      <c r="F20" s="197" t="str">
        <f>IFERROR(INDEX('FB 콘텐츠 data'!$A$1:$AH$25,MATCH('FB 신규발행'!$A20,'FB 콘텐츠 data'!$AR:$AR,0),MATCH(F$2,'FB 콘텐츠 data'!$A$1:$AH$1,0)),"")</f>
        <v/>
      </c>
      <c r="G20" s="197" t="str">
        <f>IFERROR(INDEX('FB 콘텐츠 data'!$A$1:$AH$25,MATCH('FB 신규발행'!$A20,'FB 콘텐츠 data'!$AR:$AR,0),MATCH(G$2,'FB 콘텐츠 data'!$A$1:$AH$1,0)),"")</f>
        <v/>
      </c>
      <c r="H20" s="197" t="str">
        <f t="shared" si="0"/>
        <v/>
      </c>
      <c r="I20" s="197" t="str">
        <f>IFERROR(INDEX('FB 콘텐츠 data'!$A$1:$AH$25,MATCH('FB 신규발행'!$A20,'FB 콘텐츠 data'!$AR:$AR,0),MATCH(I$2,'FB 콘텐츠 data'!$A$1:$AH$1,0)),"")</f>
        <v/>
      </c>
      <c r="J20" s="197" t="str">
        <f>IFERROR(INDEX('FB 콘텐츠 data'!$A$1:$AH$25,MATCH('FB 신규발행'!$A20,'FB 콘텐츠 data'!$AR:$AR,0),MATCH(J$2,'FB 콘텐츠 data'!$A$1:$AH$1,0)),"")</f>
        <v/>
      </c>
      <c r="K20" s="196" t="str">
        <f>IFERROR(INDEX('FB 콘텐츠 data'!$A$1:$AR$25,MATCH('FB 신규발행'!$A20,'FB 콘텐츠 data'!$AR:$AR,0),MATCH(K$2,'FB 콘텐츠 data'!$A$1:$AR$1,0)),"")</f>
        <v/>
      </c>
      <c r="L20" s="197" t="str">
        <f>IFERROR(INDEX('FB 콘텐츠 data'!$A$1:$AH$25,MATCH('FB 신규발행'!$A20,'FB 콘텐츠 data'!$AR:$AR,0),MATCH(L$2,'FB 콘텐츠 data'!$A$1:$AH$1,0)),"")</f>
        <v/>
      </c>
      <c r="M20" s="197" t="str">
        <f>IFERROR(INDEX('FB 콘텐츠 data'!$A$1:$AH$25,MATCH('FB 신규발행'!$A20,'FB 콘텐츠 data'!$AR:$AR,0),MATCH(M$2,'FB 콘텐츠 data'!$A$1:$AH$1,0)),"")</f>
        <v/>
      </c>
      <c r="N20" s="197" t="str">
        <f>IFERROR(INDEX('FB 콘텐츠 data'!$A$1:$AH$25,MATCH('FB 신규발행'!$A20,'FB 콘텐츠 data'!$AR:$AR,0),MATCH(N$2,'FB 콘텐츠 data'!$A$1:$AH$1,0)),"")</f>
        <v/>
      </c>
      <c r="O20" s="197" t="str">
        <f>IFERROR(INDEX('FB 콘텐츠 data'!$A$1:$AH$25,MATCH('FB 신규발행'!$A20,'FB 콘텐츠 data'!$AR:$AR,0),MATCH(O$2,'FB 콘텐츠 data'!$A$1:$AH$1,0)),"")</f>
        <v/>
      </c>
      <c r="P20" s="197" t="str">
        <f>IFERROR(INDEX('FB 콘텐츠 data'!$A$1:$AH$25,MATCH('FB 신규발행'!$A20,'FB 콘텐츠 data'!$AR:$AR,0),MATCH(P$2,'FB 콘텐츠 data'!$A$1:$AH$1,0)),"")</f>
        <v/>
      </c>
      <c r="Q20" s="197" t="str">
        <f>IFERROR(INDEX('FB 콘텐츠 data'!$A$1:$AH$25,MATCH('FB 신규발행'!$A20,'FB 콘텐츠 data'!$AR:$AR,0),MATCH(Q$2,'FB 콘텐츠 data'!$A$1:$AH$1,0)),"")</f>
        <v/>
      </c>
      <c r="R20" s="198" t="str">
        <f t="shared" si="1"/>
        <v/>
      </c>
      <c r="T20" s="125" t="str">
        <f t="shared" si="2"/>
        <v/>
      </c>
      <c r="U20" s="125" t="str">
        <f t="shared" si="3"/>
        <v/>
      </c>
      <c r="V20" s="137" t="str">
        <f t="shared" si="4"/>
        <v/>
      </c>
      <c r="Y20" s="157"/>
    </row>
    <row r="21" spans="1:25" ht="17.45" customHeight="1">
      <c r="A21" s="156">
        <v>19</v>
      </c>
      <c r="B21" s="195" t="str">
        <f>IFERROR(INDEX('FB 콘텐츠 data'!AQ:AQ,MATCH('FB 신규발행'!A21,'FB 콘텐츠 data'!AR:AR,0)),"")</f>
        <v/>
      </c>
      <c r="C21" s="196" t="str">
        <f>IFERROR(INDEX('FB 콘텐츠 data'!$A$1:$AH$25,MATCH('FB 신규발행'!$A21,'FB 콘텐츠 data'!$AR:$AR,0),MATCH(C$2,'FB 콘텐츠 data'!$A$1:$AH$1,0)),"")</f>
        <v/>
      </c>
      <c r="D21" s="197" t="str">
        <f>IFERROR(INDEX('FB 콘텐츠 data'!$A$1:$AH$25,MATCH('FB 신규발행'!$A21,'FB 콘텐츠 data'!$AR:$AR,0),MATCH(D$2,'FB 콘텐츠 data'!$A$1:$AH$1,0)),"")</f>
        <v/>
      </c>
      <c r="E21" s="197" t="str">
        <f>IFERROR(INDEX('FB 콘텐츠 data'!$A$1:$AH$25,MATCH('FB 신규발행'!$A21,'FB 콘텐츠 data'!$AR:$AR,0),MATCH(E$2,'FB 콘텐츠 data'!$A$1:$AH$1,0)),"")</f>
        <v/>
      </c>
      <c r="F21" s="197" t="str">
        <f>IFERROR(INDEX('FB 콘텐츠 data'!$A$1:$AH$25,MATCH('FB 신규발행'!$A21,'FB 콘텐츠 data'!$AR:$AR,0),MATCH(F$2,'FB 콘텐츠 data'!$A$1:$AH$1,0)),"")</f>
        <v/>
      </c>
      <c r="G21" s="197" t="str">
        <f>IFERROR(INDEX('FB 콘텐츠 data'!$A$1:$AH$25,MATCH('FB 신규발행'!$A21,'FB 콘텐츠 data'!$AR:$AR,0),MATCH(G$2,'FB 콘텐츠 data'!$A$1:$AH$1,0)),"")</f>
        <v/>
      </c>
      <c r="H21" s="197" t="str">
        <f t="shared" si="0"/>
        <v/>
      </c>
      <c r="I21" s="197" t="str">
        <f>IFERROR(INDEX('FB 콘텐츠 data'!$A$1:$AH$25,MATCH('FB 신규발행'!$A21,'FB 콘텐츠 data'!$AR:$AR,0),MATCH(I$2,'FB 콘텐츠 data'!$A$1:$AH$1,0)),"")</f>
        <v/>
      </c>
      <c r="J21" s="197" t="str">
        <f>IFERROR(INDEX('FB 콘텐츠 data'!$A$1:$AH$25,MATCH('FB 신규발행'!$A21,'FB 콘텐츠 data'!$AR:$AR,0),MATCH(J$2,'FB 콘텐츠 data'!$A$1:$AH$1,0)),"")</f>
        <v/>
      </c>
      <c r="K21" s="196" t="str">
        <f>IFERROR(INDEX('FB 콘텐츠 data'!$A$1:$AR$25,MATCH('FB 신규발행'!$A21,'FB 콘텐츠 data'!$AR:$AR,0),MATCH(K$2,'FB 콘텐츠 data'!$A$1:$AR$1,0)),"")</f>
        <v/>
      </c>
      <c r="L21" s="197" t="str">
        <f>IFERROR(INDEX('FB 콘텐츠 data'!$A$1:$AH$25,MATCH('FB 신규발행'!$A21,'FB 콘텐츠 data'!$AR:$AR,0),MATCH(L$2,'FB 콘텐츠 data'!$A$1:$AH$1,0)),"")</f>
        <v/>
      </c>
      <c r="M21" s="197" t="str">
        <f>IFERROR(INDEX('FB 콘텐츠 data'!$A$1:$AH$25,MATCH('FB 신규발행'!$A21,'FB 콘텐츠 data'!$AR:$AR,0),MATCH(M$2,'FB 콘텐츠 data'!$A$1:$AH$1,0)),"")</f>
        <v/>
      </c>
      <c r="N21" s="197" t="str">
        <f>IFERROR(INDEX('FB 콘텐츠 data'!$A$1:$AH$25,MATCH('FB 신규발행'!$A21,'FB 콘텐츠 data'!$AR:$AR,0),MATCH(N$2,'FB 콘텐츠 data'!$A$1:$AH$1,0)),"")</f>
        <v/>
      </c>
      <c r="O21" s="197" t="str">
        <f>IFERROR(INDEX('FB 콘텐츠 data'!$A$1:$AH$25,MATCH('FB 신규발행'!$A21,'FB 콘텐츠 data'!$AR:$AR,0),MATCH(O$2,'FB 콘텐츠 data'!$A$1:$AH$1,0)),"")</f>
        <v/>
      </c>
      <c r="P21" s="197" t="str">
        <f>IFERROR(INDEX('FB 콘텐츠 data'!$A$1:$AH$25,MATCH('FB 신규발행'!$A21,'FB 콘텐츠 data'!$AR:$AR,0),MATCH(P$2,'FB 콘텐츠 data'!$A$1:$AH$1,0)),"")</f>
        <v/>
      </c>
      <c r="Q21" s="197" t="str">
        <f>IFERROR(INDEX('FB 콘텐츠 data'!$A$1:$AH$25,MATCH('FB 신규발행'!$A21,'FB 콘텐츠 data'!$AR:$AR,0),MATCH(Q$2,'FB 콘텐츠 data'!$A$1:$AH$1,0)),"")</f>
        <v/>
      </c>
      <c r="R21" s="198" t="str">
        <f t="shared" si="1"/>
        <v/>
      </c>
      <c r="T21" s="125" t="str">
        <f t="shared" si="2"/>
        <v/>
      </c>
      <c r="U21" s="125" t="str">
        <f t="shared" si="3"/>
        <v/>
      </c>
      <c r="V21" s="137" t="str">
        <f t="shared" si="4"/>
        <v/>
      </c>
      <c r="Y21" s="157"/>
    </row>
    <row r="22" spans="1:25" ht="17.45" customHeight="1">
      <c r="A22" s="156">
        <v>20</v>
      </c>
      <c r="B22" s="195" t="str">
        <f>IFERROR(INDEX('FB 콘텐츠 data'!AQ:AQ,MATCH('FB 신규발행'!A22,'FB 콘텐츠 data'!AR:AR,0)),"")</f>
        <v/>
      </c>
      <c r="C22" s="196" t="str">
        <f>IFERROR(INDEX('FB 콘텐츠 data'!$A$1:$AH$25,MATCH('FB 신규발행'!$A22,'FB 콘텐츠 data'!$AR:$AR,0),MATCH(C$2,'FB 콘텐츠 data'!$A$1:$AH$1,0)),"")</f>
        <v/>
      </c>
      <c r="D22" s="197" t="str">
        <f>IFERROR(INDEX('FB 콘텐츠 data'!$A$1:$AH$25,MATCH('FB 신규발행'!$A22,'FB 콘텐츠 data'!$AR:$AR,0),MATCH(D$2,'FB 콘텐츠 data'!$A$1:$AH$1,0)),"")</f>
        <v/>
      </c>
      <c r="E22" s="197" t="str">
        <f>IFERROR(INDEX('FB 콘텐츠 data'!$A$1:$AH$25,MATCH('FB 신규발행'!$A22,'FB 콘텐츠 data'!$AR:$AR,0),MATCH(E$2,'FB 콘텐츠 data'!$A$1:$AH$1,0)),"")</f>
        <v/>
      </c>
      <c r="F22" s="197" t="str">
        <f>IFERROR(INDEX('FB 콘텐츠 data'!$A$1:$AH$25,MATCH('FB 신규발행'!$A22,'FB 콘텐츠 data'!$AR:$AR,0),MATCH(F$2,'FB 콘텐츠 data'!$A$1:$AH$1,0)),"")</f>
        <v/>
      </c>
      <c r="G22" s="197" t="str">
        <f>IFERROR(INDEX('FB 콘텐츠 data'!$A$1:$AH$25,MATCH('FB 신규발행'!$A22,'FB 콘텐츠 data'!$AR:$AR,0),MATCH(G$2,'FB 콘텐츠 data'!$A$1:$AH$1,0)),"")</f>
        <v/>
      </c>
      <c r="H22" s="197" t="str">
        <f t="shared" si="0"/>
        <v/>
      </c>
      <c r="I22" s="197" t="str">
        <f>IFERROR(INDEX('FB 콘텐츠 data'!$A$1:$AH$25,MATCH('FB 신규발행'!$A22,'FB 콘텐츠 data'!$AR:$AR,0),MATCH(I$2,'FB 콘텐츠 data'!$A$1:$AH$1,0)),"")</f>
        <v/>
      </c>
      <c r="J22" s="197" t="str">
        <f>IFERROR(INDEX('FB 콘텐츠 data'!$A$1:$AH$25,MATCH('FB 신규발행'!$A22,'FB 콘텐츠 data'!$AR:$AR,0),MATCH(J$2,'FB 콘텐츠 data'!$A$1:$AH$1,0)),"")</f>
        <v/>
      </c>
      <c r="K22" s="196" t="str">
        <f>IFERROR(INDEX('FB 콘텐츠 data'!$A$1:$AR$25,MATCH('FB 신규발행'!$A22,'FB 콘텐츠 data'!$AR:$AR,0),MATCH(K$2,'FB 콘텐츠 data'!$A$1:$AR$1,0)),"")</f>
        <v/>
      </c>
      <c r="L22" s="197" t="str">
        <f>IFERROR(INDEX('FB 콘텐츠 data'!$A$1:$AH$25,MATCH('FB 신규발행'!$A22,'FB 콘텐츠 data'!$AR:$AR,0),MATCH(L$2,'FB 콘텐츠 data'!$A$1:$AH$1,0)),"")</f>
        <v/>
      </c>
      <c r="M22" s="197" t="str">
        <f>IFERROR(INDEX('FB 콘텐츠 data'!$A$1:$AH$25,MATCH('FB 신규발행'!$A22,'FB 콘텐츠 data'!$AR:$AR,0),MATCH(M$2,'FB 콘텐츠 data'!$A$1:$AH$1,0)),"")</f>
        <v/>
      </c>
      <c r="N22" s="197" t="str">
        <f>IFERROR(INDEX('FB 콘텐츠 data'!$A$1:$AH$25,MATCH('FB 신규발행'!$A22,'FB 콘텐츠 data'!$AR:$AR,0),MATCH(N$2,'FB 콘텐츠 data'!$A$1:$AH$1,0)),"")</f>
        <v/>
      </c>
      <c r="O22" s="197" t="str">
        <f>IFERROR(INDEX('FB 콘텐츠 data'!$A$1:$AH$25,MATCH('FB 신규발행'!$A22,'FB 콘텐츠 data'!$AR:$AR,0),MATCH(O$2,'FB 콘텐츠 data'!$A$1:$AH$1,0)),"")</f>
        <v/>
      </c>
      <c r="P22" s="197" t="str">
        <f>IFERROR(INDEX('FB 콘텐츠 data'!$A$1:$AH$25,MATCH('FB 신규발행'!$A22,'FB 콘텐츠 data'!$AR:$AR,0),MATCH(P$2,'FB 콘텐츠 data'!$A$1:$AH$1,0)),"")</f>
        <v/>
      </c>
      <c r="Q22" s="197" t="str">
        <f>IFERROR(INDEX('FB 콘텐츠 data'!$A$1:$AH$25,MATCH('FB 신규발행'!$A22,'FB 콘텐츠 data'!$AR:$AR,0),MATCH(Q$2,'FB 콘텐츠 data'!$A$1:$AH$1,0)),"")</f>
        <v/>
      </c>
      <c r="R22" s="198" t="str">
        <f t="shared" si="1"/>
        <v/>
      </c>
      <c r="T22" s="125" t="str">
        <f t="shared" si="2"/>
        <v/>
      </c>
      <c r="U22" s="125" t="str">
        <f t="shared" si="3"/>
        <v/>
      </c>
      <c r="V22" s="137" t="str">
        <f t="shared" si="4"/>
        <v/>
      </c>
      <c r="Y22" s="157"/>
    </row>
    <row r="23" spans="1:25" ht="17.45" customHeight="1">
      <c r="A23" s="156">
        <v>21</v>
      </c>
      <c r="B23" s="195" t="str">
        <f>IFERROR(INDEX('FB 콘텐츠 data'!AQ:AQ,MATCH('FB 신규발행'!A23,'FB 콘텐츠 data'!AR:AR,0)),"")</f>
        <v/>
      </c>
      <c r="C23" s="196" t="str">
        <f>IFERROR(INDEX('FB 콘텐츠 data'!$A$1:$AH$25,MATCH('FB 신규발행'!$A23,'FB 콘텐츠 data'!$AR:$AR,0),MATCH(C$2,'FB 콘텐츠 data'!$A$1:$AH$1,0)),"")</f>
        <v/>
      </c>
      <c r="D23" s="197" t="str">
        <f>IFERROR(INDEX('FB 콘텐츠 data'!$A$1:$AH$25,MATCH('FB 신규발행'!$A23,'FB 콘텐츠 data'!$AR:$AR,0),MATCH(D$2,'FB 콘텐츠 data'!$A$1:$AH$1,0)),"")</f>
        <v/>
      </c>
      <c r="E23" s="197" t="str">
        <f>IFERROR(INDEX('FB 콘텐츠 data'!$A$1:$AH$25,MATCH('FB 신규발행'!$A23,'FB 콘텐츠 data'!$AR:$AR,0),MATCH(E$2,'FB 콘텐츠 data'!$A$1:$AH$1,0)),"")</f>
        <v/>
      </c>
      <c r="F23" s="197" t="str">
        <f>IFERROR(INDEX('FB 콘텐츠 data'!$A$1:$AH$25,MATCH('FB 신규발행'!$A23,'FB 콘텐츠 data'!$AR:$AR,0),MATCH(F$2,'FB 콘텐츠 data'!$A$1:$AH$1,0)),"")</f>
        <v/>
      </c>
      <c r="G23" s="197" t="str">
        <f>IFERROR(INDEX('FB 콘텐츠 data'!$A$1:$AH$25,MATCH('FB 신규발행'!$A23,'FB 콘텐츠 data'!$AR:$AR,0),MATCH(G$2,'FB 콘텐츠 data'!$A$1:$AH$1,0)),"")</f>
        <v/>
      </c>
      <c r="H23" s="197" t="str">
        <f t="shared" si="0"/>
        <v/>
      </c>
      <c r="I23" s="197" t="str">
        <f>IFERROR(INDEX('FB 콘텐츠 data'!$A$1:$AH$25,MATCH('FB 신규발행'!$A23,'FB 콘텐츠 data'!$AR:$AR,0),MATCH(I$2,'FB 콘텐츠 data'!$A$1:$AH$1,0)),"")</f>
        <v/>
      </c>
      <c r="J23" s="197" t="str">
        <f>IFERROR(INDEX('FB 콘텐츠 data'!$A$1:$AH$25,MATCH('FB 신규발행'!$A23,'FB 콘텐츠 data'!$AR:$AR,0),MATCH(J$2,'FB 콘텐츠 data'!$A$1:$AH$1,0)),"")</f>
        <v/>
      </c>
      <c r="K23" s="196" t="str">
        <f>IFERROR(INDEX('FB 콘텐츠 data'!$A$1:$AR$25,MATCH('FB 신규발행'!$A23,'FB 콘텐츠 data'!$AR:$AR,0),MATCH(K$2,'FB 콘텐츠 data'!$A$1:$AR$1,0)),"")</f>
        <v/>
      </c>
      <c r="L23" s="197" t="str">
        <f>IFERROR(INDEX('FB 콘텐츠 data'!$A$1:$AH$25,MATCH('FB 신규발행'!$A23,'FB 콘텐츠 data'!$AR:$AR,0),MATCH(L$2,'FB 콘텐츠 data'!$A$1:$AH$1,0)),"")</f>
        <v/>
      </c>
      <c r="M23" s="197" t="str">
        <f>IFERROR(INDEX('FB 콘텐츠 data'!$A$1:$AH$25,MATCH('FB 신규발행'!$A23,'FB 콘텐츠 data'!$AR:$AR,0),MATCH(M$2,'FB 콘텐츠 data'!$A$1:$AH$1,0)),"")</f>
        <v/>
      </c>
      <c r="N23" s="197" t="str">
        <f>IFERROR(INDEX('FB 콘텐츠 data'!$A$1:$AH$25,MATCH('FB 신규발행'!$A23,'FB 콘텐츠 data'!$AR:$AR,0),MATCH(N$2,'FB 콘텐츠 data'!$A$1:$AH$1,0)),"")</f>
        <v/>
      </c>
      <c r="O23" s="197" t="str">
        <f>IFERROR(INDEX('FB 콘텐츠 data'!$A$1:$AH$25,MATCH('FB 신규발행'!$A23,'FB 콘텐츠 data'!$AR:$AR,0),MATCH(O$2,'FB 콘텐츠 data'!$A$1:$AH$1,0)),"")</f>
        <v/>
      </c>
      <c r="P23" s="197" t="str">
        <f>IFERROR(INDEX('FB 콘텐츠 data'!$A$1:$AH$25,MATCH('FB 신규발행'!$A23,'FB 콘텐츠 data'!$AR:$AR,0),MATCH(P$2,'FB 콘텐츠 data'!$A$1:$AH$1,0)),"")</f>
        <v/>
      </c>
      <c r="Q23" s="197" t="str">
        <f>IFERROR(INDEX('FB 콘텐츠 data'!$A$1:$AH$25,MATCH('FB 신규발행'!$A23,'FB 콘텐츠 data'!$AR:$AR,0),MATCH(Q$2,'FB 콘텐츠 data'!$A$1:$AH$1,0)),"")</f>
        <v/>
      </c>
      <c r="R23" s="198" t="str">
        <f t="shared" si="1"/>
        <v/>
      </c>
      <c r="T23" s="125" t="str">
        <f t="shared" si="2"/>
        <v/>
      </c>
      <c r="U23" s="125" t="str">
        <f t="shared" si="3"/>
        <v/>
      </c>
      <c r="V23" s="137" t="str">
        <f t="shared" si="4"/>
        <v/>
      </c>
      <c r="Y23" s="157"/>
    </row>
    <row r="24" spans="1:25" ht="17.45" customHeight="1">
      <c r="A24" s="156">
        <v>22</v>
      </c>
      <c r="B24" s="195" t="str">
        <f>IFERROR(INDEX('FB 콘텐츠 data'!AQ:AQ,MATCH('FB 신규발행'!A24,'FB 콘텐츠 data'!AR:AR,0)),"")</f>
        <v/>
      </c>
      <c r="C24" s="196" t="str">
        <f>IFERROR(INDEX('FB 콘텐츠 data'!$A$1:$AH$25,MATCH('FB 신규발행'!$A24,'FB 콘텐츠 data'!$AR:$AR,0),MATCH(C$2,'FB 콘텐츠 data'!$A$1:$AH$1,0)),"")</f>
        <v/>
      </c>
      <c r="D24" s="197" t="str">
        <f>IFERROR(INDEX('FB 콘텐츠 data'!$A$1:$AH$25,MATCH('FB 신규발행'!$A24,'FB 콘텐츠 data'!$AR:$AR,0),MATCH(D$2,'FB 콘텐츠 data'!$A$1:$AH$1,0)),"")</f>
        <v/>
      </c>
      <c r="E24" s="197" t="str">
        <f>IFERROR(INDEX('FB 콘텐츠 data'!$A$1:$AH$25,MATCH('FB 신규발행'!$A24,'FB 콘텐츠 data'!$AR:$AR,0),MATCH(E$2,'FB 콘텐츠 data'!$A$1:$AH$1,0)),"")</f>
        <v/>
      </c>
      <c r="F24" s="197" t="str">
        <f>IFERROR(INDEX('FB 콘텐츠 data'!$A$1:$AH$25,MATCH('FB 신규발행'!$A24,'FB 콘텐츠 data'!$AR:$AR,0),MATCH(F$2,'FB 콘텐츠 data'!$A$1:$AH$1,0)),"")</f>
        <v/>
      </c>
      <c r="G24" s="197" t="str">
        <f>IFERROR(INDEX('FB 콘텐츠 data'!$A$1:$AH$25,MATCH('FB 신규발행'!$A24,'FB 콘텐츠 data'!$AR:$AR,0),MATCH(G$2,'FB 콘텐츠 data'!$A$1:$AH$1,0)),"")</f>
        <v/>
      </c>
      <c r="H24" s="197" t="str">
        <f t="shared" si="0"/>
        <v/>
      </c>
      <c r="I24" s="197" t="str">
        <f>IFERROR(INDEX('FB 콘텐츠 data'!$A$1:$AH$25,MATCH('FB 신규발행'!$A24,'FB 콘텐츠 data'!$AR:$AR,0),MATCH(I$2,'FB 콘텐츠 data'!$A$1:$AH$1,0)),"")</f>
        <v/>
      </c>
      <c r="J24" s="197" t="str">
        <f>IFERROR(INDEX('FB 콘텐츠 data'!$A$1:$AH$25,MATCH('FB 신규발행'!$A24,'FB 콘텐츠 data'!$AR:$AR,0),MATCH(J$2,'FB 콘텐츠 data'!$A$1:$AH$1,0)),"")</f>
        <v/>
      </c>
      <c r="K24" s="196" t="str">
        <f>IFERROR(INDEX('FB 콘텐츠 data'!$A$1:$AR$25,MATCH('FB 신규발행'!$A24,'FB 콘텐츠 data'!$AR:$AR,0),MATCH(K$2,'FB 콘텐츠 data'!$A$1:$AR$1,0)),"")</f>
        <v/>
      </c>
      <c r="L24" s="197" t="str">
        <f>IFERROR(INDEX('FB 콘텐츠 data'!$A$1:$AH$25,MATCH('FB 신규발행'!$A24,'FB 콘텐츠 data'!$AR:$AR,0),MATCH(L$2,'FB 콘텐츠 data'!$A$1:$AH$1,0)),"")</f>
        <v/>
      </c>
      <c r="M24" s="197" t="str">
        <f>IFERROR(INDEX('FB 콘텐츠 data'!$A$1:$AH$25,MATCH('FB 신규발행'!$A24,'FB 콘텐츠 data'!$AR:$AR,0),MATCH(M$2,'FB 콘텐츠 data'!$A$1:$AH$1,0)),"")</f>
        <v/>
      </c>
      <c r="N24" s="197" t="str">
        <f>IFERROR(INDEX('FB 콘텐츠 data'!$A$1:$AH$25,MATCH('FB 신규발행'!$A24,'FB 콘텐츠 data'!$AR:$AR,0),MATCH(N$2,'FB 콘텐츠 data'!$A$1:$AH$1,0)),"")</f>
        <v/>
      </c>
      <c r="O24" s="197" t="str">
        <f>IFERROR(INDEX('FB 콘텐츠 data'!$A$1:$AH$25,MATCH('FB 신규발행'!$A24,'FB 콘텐츠 data'!$AR:$AR,0),MATCH(O$2,'FB 콘텐츠 data'!$A$1:$AH$1,0)),"")</f>
        <v/>
      </c>
      <c r="P24" s="197" t="str">
        <f>IFERROR(INDEX('FB 콘텐츠 data'!$A$1:$AH$25,MATCH('FB 신규발행'!$A24,'FB 콘텐츠 data'!$AR:$AR,0),MATCH(P$2,'FB 콘텐츠 data'!$A$1:$AH$1,0)),"")</f>
        <v/>
      </c>
      <c r="Q24" s="197" t="str">
        <f>IFERROR(INDEX('FB 콘텐츠 data'!$A$1:$AH$25,MATCH('FB 신규발행'!$A24,'FB 콘텐츠 data'!$AR:$AR,0),MATCH(Q$2,'FB 콘텐츠 data'!$A$1:$AH$1,0)),"")</f>
        <v/>
      </c>
      <c r="R24" s="198" t="str">
        <f t="shared" si="1"/>
        <v/>
      </c>
      <c r="T24" s="125" t="str">
        <f t="shared" si="2"/>
        <v/>
      </c>
      <c r="U24" s="125" t="str">
        <f t="shared" si="3"/>
        <v/>
      </c>
      <c r="V24" s="137" t="str">
        <f t="shared" si="4"/>
        <v/>
      </c>
      <c r="Y24" s="157"/>
    </row>
    <row r="25" spans="1:25" ht="17.45" customHeight="1">
      <c r="A25" s="156">
        <v>23</v>
      </c>
      <c r="B25" s="195" t="str">
        <f>IFERROR(INDEX('FB 콘텐츠 data'!AQ:AQ,MATCH('FB 신규발행'!A25,'FB 콘텐츠 data'!AR:AR,0)),"")</f>
        <v/>
      </c>
      <c r="C25" s="196" t="str">
        <f>IFERROR(INDEX('FB 콘텐츠 data'!$A$1:$AH$25,MATCH('FB 신규발행'!$A25,'FB 콘텐츠 data'!$AR:$AR,0),MATCH(C$2,'FB 콘텐츠 data'!$A$1:$AH$1,0)),"")</f>
        <v/>
      </c>
      <c r="D25" s="197" t="str">
        <f>IFERROR(INDEX('FB 콘텐츠 data'!$A$1:$AH$25,MATCH('FB 신규발행'!$A25,'FB 콘텐츠 data'!$AR:$AR,0),MATCH(D$2,'FB 콘텐츠 data'!$A$1:$AH$1,0)),"")</f>
        <v/>
      </c>
      <c r="E25" s="197" t="str">
        <f>IFERROR(INDEX('FB 콘텐츠 data'!$A$1:$AH$25,MATCH('FB 신규발행'!$A25,'FB 콘텐츠 data'!$AR:$AR,0),MATCH(E$2,'FB 콘텐츠 data'!$A$1:$AH$1,0)),"")</f>
        <v/>
      </c>
      <c r="F25" s="197" t="str">
        <f>IFERROR(INDEX('FB 콘텐츠 data'!$A$1:$AH$25,MATCH('FB 신규발행'!$A25,'FB 콘텐츠 data'!$AR:$AR,0),MATCH(F$2,'FB 콘텐츠 data'!$A$1:$AH$1,0)),"")</f>
        <v/>
      </c>
      <c r="G25" s="197" t="str">
        <f>IFERROR(INDEX('FB 콘텐츠 data'!$A$1:$AH$25,MATCH('FB 신규발행'!$A25,'FB 콘텐츠 data'!$AR:$AR,0),MATCH(G$2,'FB 콘텐츠 data'!$A$1:$AH$1,0)),"")</f>
        <v/>
      </c>
      <c r="H25" s="197" t="str">
        <f t="shared" si="0"/>
        <v/>
      </c>
      <c r="I25" s="197" t="str">
        <f>IFERROR(INDEX('FB 콘텐츠 data'!$A$1:$AH$25,MATCH('FB 신규발행'!$A25,'FB 콘텐츠 data'!$AR:$AR,0),MATCH(I$2,'FB 콘텐츠 data'!$A$1:$AH$1,0)),"")</f>
        <v/>
      </c>
      <c r="J25" s="197" t="str">
        <f>IFERROR(INDEX('FB 콘텐츠 data'!$A$1:$AH$25,MATCH('FB 신규발행'!$A25,'FB 콘텐츠 data'!$AR:$AR,0),MATCH(J$2,'FB 콘텐츠 data'!$A$1:$AH$1,0)),"")</f>
        <v/>
      </c>
      <c r="K25" s="196" t="str">
        <f>IFERROR(INDEX('FB 콘텐츠 data'!$A$1:$AR$25,MATCH('FB 신규발행'!$A25,'FB 콘텐츠 data'!$AR:$AR,0),MATCH(K$2,'FB 콘텐츠 data'!$A$1:$AR$1,0)),"")</f>
        <v/>
      </c>
      <c r="L25" s="197" t="str">
        <f>IFERROR(INDEX('FB 콘텐츠 data'!$A$1:$AH$25,MATCH('FB 신규발행'!$A25,'FB 콘텐츠 data'!$AR:$AR,0),MATCH(L$2,'FB 콘텐츠 data'!$A$1:$AH$1,0)),"")</f>
        <v/>
      </c>
      <c r="M25" s="197" t="str">
        <f>IFERROR(INDEX('FB 콘텐츠 data'!$A$1:$AH$25,MATCH('FB 신규발행'!$A25,'FB 콘텐츠 data'!$AR:$AR,0),MATCH(M$2,'FB 콘텐츠 data'!$A$1:$AH$1,0)),"")</f>
        <v/>
      </c>
      <c r="N25" s="197" t="str">
        <f>IFERROR(INDEX('FB 콘텐츠 data'!$A$1:$AH$25,MATCH('FB 신규발행'!$A25,'FB 콘텐츠 data'!$AR:$AR,0),MATCH(N$2,'FB 콘텐츠 data'!$A$1:$AH$1,0)),"")</f>
        <v/>
      </c>
      <c r="O25" s="197" t="str">
        <f>IFERROR(INDEX('FB 콘텐츠 data'!$A$1:$AH$25,MATCH('FB 신규발행'!$A25,'FB 콘텐츠 data'!$AR:$AR,0),MATCH(O$2,'FB 콘텐츠 data'!$A$1:$AH$1,0)),"")</f>
        <v/>
      </c>
      <c r="P25" s="197" t="str">
        <f>IFERROR(INDEX('FB 콘텐츠 data'!$A$1:$AH$25,MATCH('FB 신규발행'!$A25,'FB 콘텐츠 data'!$AR:$AR,0),MATCH(P$2,'FB 콘텐츠 data'!$A$1:$AH$1,0)),"")</f>
        <v/>
      </c>
      <c r="Q25" s="197" t="str">
        <f>IFERROR(INDEX('FB 콘텐츠 data'!$A$1:$AH$25,MATCH('FB 신규발행'!$A25,'FB 콘텐츠 data'!$AR:$AR,0),MATCH(Q$2,'FB 콘텐츠 data'!$A$1:$AH$1,0)),"")</f>
        <v/>
      </c>
      <c r="R25" s="198" t="str">
        <f t="shared" si="1"/>
        <v/>
      </c>
      <c r="T25" s="125" t="str">
        <f t="shared" si="2"/>
        <v/>
      </c>
      <c r="U25" s="125" t="str">
        <f t="shared" si="3"/>
        <v/>
      </c>
      <c r="V25" s="137" t="str">
        <f t="shared" si="4"/>
        <v/>
      </c>
      <c r="Y25" s="157"/>
    </row>
    <row r="26" spans="1:25" ht="17.45" customHeight="1">
      <c r="A26" s="156">
        <v>24</v>
      </c>
      <c r="B26" s="195" t="str">
        <f>IFERROR(INDEX('FB 콘텐츠 data'!AQ:AQ,MATCH('FB 신규발행'!A26,'FB 콘텐츠 data'!AR:AR,0)),"")</f>
        <v/>
      </c>
      <c r="C26" s="196" t="str">
        <f>IFERROR(INDEX('FB 콘텐츠 data'!$A$1:$AH$25,MATCH('FB 신규발행'!$A26,'FB 콘텐츠 data'!$AR:$AR,0),MATCH(C$2,'FB 콘텐츠 data'!$A$1:$AH$1,0)),"")</f>
        <v/>
      </c>
      <c r="D26" s="197" t="str">
        <f>IFERROR(INDEX('FB 콘텐츠 data'!$A$1:$AH$25,MATCH('FB 신규발행'!$A26,'FB 콘텐츠 data'!$AR:$AR,0),MATCH(D$2,'FB 콘텐츠 data'!$A$1:$AH$1,0)),"")</f>
        <v/>
      </c>
      <c r="E26" s="197" t="str">
        <f>IFERROR(INDEX('FB 콘텐츠 data'!$A$1:$AH$25,MATCH('FB 신규발행'!$A26,'FB 콘텐츠 data'!$AR:$AR,0),MATCH(E$2,'FB 콘텐츠 data'!$A$1:$AH$1,0)),"")</f>
        <v/>
      </c>
      <c r="F26" s="197" t="str">
        <f>IFERROR(INDEX('FB 콘텐츠 data'!$A$1:$AH$25,MATCH('FB 신규발행'!$A26,'FB 콘텐츠 data'!$AR:$AR,0),MATCH(F$2,'FB 콘텐츠 data'!$A$1:$AH$1,0)),"")</f>
        <v/>
      </c>
      <c r="G26" s="197" t="str">
        <f>IFERROR(INDEX('FB 콘텐츠 data'!$A$1:$AH$25,MATCH('FB 신규발행'!$A26,'FB 콘텐츠 data'!$AR:$AR,0),MATCH(G$2,'FB 콘텐츠 data'!$A$1:$AH$1,0)),"")</f>
        <v/>
      </c>
      <c r="H26" s="197" t="str">
        <f t="shared" si="0"/>
        <v/>
      </c>
      <c r="I26" s="197" t="str">
        <f>IFERROR(INDEX('FB 콘텐츠 data'!$A$1:$AH$25,MATCH('FB 신규발행'!$A26,'FB 콘텐츠 data'!$AR:$AR,0),MATCH(I$2,'FB 콘텐츠 data'!$A$1:$AH$1,0)),"")</f>
        <v/>
      </c>
      <c r="J26" s="197" t="str">
        <f>IFERROR(INDEX('FB 콘텐츠 data'!$A$1:$AH$25,MATCH('FB 신규발행'!$A26,'FB 콘텐츠 data'!$AR:$AR,0),MATCH(J$2,'FB 콘텐츠 data'!$A$1:$AH$1,0)),"")</f>
        <v/>
      </c>
      <c r="K26" s="196" t="str">
        <f>IFERROR(INDEX('FB 콘텐츠 data'!$A$1:$AR$25,MATCH('FB 신규발행'!$A26,'FB 콘텐츠 data'!$AR:$AR,0),MATCH(K$2,'FB 콘텐츠 data'!$A$1:$AR$1,0)),"")</f>
        <v/>
      </c>
      <c r="L26" s="197" t="str">
        <f>IFERROR(INDEX('FB 콘텐츠 data'!$A$1:$AH$25,MATCH('FB 신규발행'!$A26,'FB 콘텐츠 data'!$AR:$AR,0),MATCH(L$2,'FB 콘텐츠 data'!$A$1:$AH$1,0)),"")</f>
        <v/>
      </c>
      <c r="M26" s="197" t="str">
        <f>IFERROR(INDEX('FB 콘텐츠 data'!$A$1:$AH$25,MATCH('FB 신규발행'!$A26,'FB 콘텐츠 data'!$AR:$AR,0),MATCH(M$2,'FB 콘텐츠 data'!$A$1:$AH$1,0)),"")</f>
        <v/>
      </c>
      <c r="N26" s="197" t="str">
        <f>IFERROR(INDEX('FB 콘텐츠 data'!$A$1:$AH$25,MATCH('FB 신규발행'!$A26,'FB 콘텐츠 data'!$AR:$AR,0),MATCH(N$2,'FB 콘텐츠 data'!$A$1:$AH$1,0)),"")</f>
        <v/>
      </c>
      <c r="O26" s="197" t="str">
        <f>IFERROR(INDEX('FB 콘텐츠 data'!$A$1:$AH$25,MATCH('FB 신규발행'!$A26,'FB 콘텐츠 data'!$AR:$AR,0),MATCH(O$2,'FB 콘텐츠 data'!$A$1:$AH$1,0)),"")</f>
        <v/>
      </c>
      <c r="P26" s="197" t="str">
        <f>IFERROR(INDEX('FB 콘텐츠 data'!$A$1:$AH$25,MATCH('FB 신규발행'!$A26,'FB 콘텐츠 data'!$AR:$AR,0),MATCH(P$2,'FB 콘텐츠 data'!$A$1:$AH$1,0)),"")</f>
        <v/>
      </c>
      <c r="Q26" s="197" t="str">
        <f>IFERROR(INDEX('FB 콘텐츠 data'!$A$1:$AH$25,MATCH('FB 신규발행'!$A26,'FB 콘텐츠 data'!$AR:$AR,0),MATCH(Q$2,'FB 콘텐츠 data'!$A$1:$AH$1,0)),"")</f>
        <v/>
      </c>
      <c r="R26" s="198" t="str">
        <f t="shared" si="1"/>
        <v/>
      </c>
      <c r="T26" s="125" t="str">
        <f t="shared" si="2"/>
        <v/>
      </c>
      <c r="U26" s="125" t="str">
        <f t="shared" si="3"/>
        <v/>
      </c>
      <c r="V26" s="137" t="str">
        <f t="shared" si="4"/>
        <v/>
      </c>
      <c r="Y26" s="157"/>
    </row>
    <row r="27" spans="1:25" ht="17.45" customHeight="1">
      <c r="A27" s="156">
        <v>25</v>
      </c>
      <c r="B27" s="195" t="str">
        <f>IFERROR(INDEX('FB 콘텐츠 data'!AQ:AQ,MATCH('FB 신규발행'!A27,'FB 콘텐츠 data'!AR:AR,0)),"")</f>
        <v/>
      </c>
      <c r="C27" s="196" t="str">
        <f>IFERROR(INDEX('FB 콘텐츠 data'!$A$1:$AH$25,MATCH('FB 신규발행'!$A27,'FB 콘텐츠 data'!$AR:$AR,0),MATCH(C$2,'FB 콘텐츠 data'!$A$1:$AH$1,0)),"")</f>
        <v/>
      </c>
      <c r="D27" s="197" t="str">
        <f>IFERROR(INDEX('FB 콘텐츠 data'!$A$1:$AH$25,MATCH('FB 신규발행'!$A27,'FB 콘텐츠 data'!$AR:$AR,0),MATCH(D$2,'FB 콘텐츠 data'!$A$1:$AH$1,0)),"")</f>
        <v/>
      </c>
      <c r="E27" s="197" t="str">
        <f>IFERROR(INDEX('FB 콘텐츠 data'!$A$1:$AH$25,MATCH('FB 신규발행'!$A27,'FB 콘텐츠 data'!$AR:$AR,0),MATCH(E$2,'FB 콘텐츠 data'!$A$1:$AH$1,0)),"")</f>
        <v/>
      </c>
      <c r="F27" s="197" t="str">
        <f>IFERROR(INDEX('FB 콘텐츠 data'!$A$1:$AH$25,MATCH('FB 신규발행'!$A27,'FB 콘텐츠 data'!$AR:$AR,0),MATCH(F$2,'FB 콘텐츠 data'!$A$1:$AH$1,0)),"")</f>
        <v/>
      </c>
      <c r="G27" s="197" t="str">
        <f>IFERROR(INDEX('FB 콘텐츠 data'!$A$1:$AH$25,MATCH('FB 신규발행'!$A27,'FB 콘텐츠 data'!$AR:$AR,0),MATCH(G$2,'FB 콘텐츠 data'!$A$1:$AH$1,0)),"")</f>
        <v/>
      </c>
      <c r="H27" s="197" t="str">
        <f t="shared" si="0"/>
        <v/>
      </c>
      <c r="I27" s="197" t="str">
        <f>IFERROR(INDEX('FB 콘텐츠 data'!$A$1:$AH$25,MATCH('FB 신규발행'!$A27,'FB 콘텐츠 data'!$AR:$AR,0),MATCH(I$2,'FB 콘텐츠 data'!$A$1:$AH$1,0)),"")</f>
        <v/>
      </c>
      <c r="J27" s="197" t="str">
        <f>IFERROR(INDEX('FB 콘텐츠 data'!$A$1:$AH$25,MATCH('FB 신규발행'!$A27,'FB 콘텐츠 data'!$AR:$AR,0),MATCH(J$2,'FB 콘텐츠 data'!$A$1:$AH$1,0)),"")</f>
        <v/>
      </c>
      <c r="K27" s="196" t="str">
        <f>IFERROR(INDEX('FB 콘텐츠 data'!$A$1:$AR$25,MATCH('FB 신규발행'!$A27,'FB 콘텐츠 data'!$AR:$AR,0),MATCH(K$2,'FB 콘텐츠 data'!$A$1:$AR$1,0)),"")</f>
        <v/>
      </c>
      <c r="L27" s="197" t="str">
        <f>IFERROR(INDEX('FB 콘텐츠 data'!$A$1:$AH$25,MATCH('FB 신규발행'!$A27,'FB 콘텐츠 data'!$AR:$AR,0),MATCH(L$2,'FB 콘텐츠 data'!$A$1:$AH$1,0)),"")</f>
        <v/>
      </c>
      <c r="M27" s="197" t="str">
        <f>IFERROR(INDEX('FB 콘텐츠 data'!$A$1:$AH$25,MATCH('FB 신규발행'!$A27,'FB 콘텐츠 data'!$AR:$AR,0),MATCH(M$2,'FB 콘텐츠 data'!$A$1:$AH$1,0)),"")</f>
        <v/>
      </c>
      <c r="N27" s="197" t="str">
        <f>IFERROR(INDEX('FB 콘텐츠 data'!$A$1:$AH$25,MATCH('FB 신규발행'!$A27,'FB 콘텐츠 data'!$AR:$AR,0),MATCH(N$2,'FB 콘텐츠 data'!$A$1:$AH$1,0)),"")</f>
        <v/>
      </c>
      <c r="O27" s="197" t="str">
        <f>IFERROR(INDEX('FB 콘텐츠 data'!$A$1:$AH$25,MATCH('FB 신규발행'!$A27,'FB 콘텐츠 data'!$AR:$AR,0),MATCH(O$2,'FB 콘텐츠 data'!$A$1:$AH$1,0)),"")</f>
        <v/>
      </c>
      <c r="P27" s="197" t="str">
        <f>IFERROR(INDEX('FB 콘텐츠 data'!$A$1:$AH$25,MATCH('FB 신규발행'!$A27,'FB 콘텐츠 data'!$AR:$AR,0),MATCH(P$2,'FB 콘텐츠 data'!$A$1:$AH$1,0)),"")</f>
        <v/>
      </c>
      <c r="Q27" s="197" t="str">
        <f>IFERROR(INDEX('FB 콘텐츠 data'!$A$1:$AH$25,MATCH('FB 신규발행'!$A27,'FB 콘텐츠 data'!$AR:$AR,0),MATCH(Q$2,'FB 콘텐츠 data'!$A$1:$AH$1,0)),"")</f>
        <v/>
      </c>
      <c r="R27" s="198" t="str">
        <f t="shared" si="1"/>
        <v/>
      </c>
      <c r="T27" s="125" t="str">
        <f t="shared" si="2"/>
        <v/>
      </c>
      <c r="U27" s="125" t="str">
        <f t="shared" si="3"/>
        <v/>
      </c>
      <c r="V27" s="137" t="str">
        <f t="shared" si="4"/>
        <v/>
      </c>
      <c r="Y27" s="157"/>
    </row>
    <row r="28" spans="1:25" ht="17.45" customHeight="1">
      <c r="A28" s="156">
        <v>26</v>
      </c>
      <c r="B28" s="195" t="str">
        <f>IFERROR(INDEX('FB 콘텐츠 data'!AQ:AQ,MATCH('FB 신규발행'!A28,'FB 콘텐츠 data'!AR:AR,0)),"")</f>
        <v/>
      </c>
      <c r="C28" s="196" t="str">
        <f>IFERROR(INDEX('FB 콘텐츠 data'!$A$1:$AH$25,MATCH('FB 신규발행'!$A28,'FB 콘텐츠 data'!$AR:$AR,0),MATCH(C$2,'FB 콘텐츠 data'!$A$1:$AH$1,0)),"")</f>
        <v/>
      </c>
      <c r="D28" s="197" t="str">
        <f>IFERROR(INDEX('FB 콘텐츠 data'!$A$1:$AH$25,MATCH('FB 신규발행'!$A28,'FB 콘텐츠 data'!$AR:$AR,0),MATCH(D$2,'FB 콘텐츠 data'!$A$1:$AH$1,0)),"")</f>
        <v/>
      </c>
      <c r="E28" s="197" t="str">
        <f>IFERROR(INDEX('FB 콘텐츠 data'!$A$1:$AH$25,MATCH('FB 신규발행'!$A28,'FB 콘텐츠 data'!$AR:$AR,0),MATCH(E$2,'FB 콘텐츠 data'!$A$1:$AH$1,0)),"")</f>
        <v/>
      </c>
      <c r="F28" s="197" t="str">
        <f>IFERROR(INDEX('FB 콘텐츠 data'!$A$1:$AH$25,MATCH('FB 신규발행'!$A28,'FB 콘텐츠 data'!$AR:$AR,0),MATCH(F$2,'FB 콘텐츠 data'!$A$1:$AH$1,0)),"")</f>
        <v/>
      </c>
      <c r="G28" s="197" t="str">
        <f>IFERROR(INDEX('FB 콘텐츠 data'!$A$1:$AH$25,MATCH('FB 신규발행'!$A28,'FB 콘텐츠 data'!$AR:$AR,0),MATCH(G$2,'FB 콘텐츠 data'!$A$1:$AH$1,0)),"")</f>
        <v/>
      </c>
      <c r="H28" s="197" t="str">
        <f t="shared" si="0"/>
        <v/>
      </c>
      <c r="I28" s="197" t="str">
        <f>IFERROR(INDEX('FB 콘텐츠 data'!$A$1:$AH$25,MATCH('FB 신규발행'!$A28,'FB 콘텐츠 data'!$AR:$AR,0),MATCH(I$2,'FB 콘텐츠 data'!$A$1:$AH$1,0)),"")</f>
        <v/>
      </c>
      <c r="J28" s="197" t="str">
        <f>IFERROR(INDEX('FB 콘텐츠 data'!$A$1:$AH$25,MATCH('FB 신규발행'!$A28,'FB 콘텐츠 data'!$AR:$AR,0),MATCH(J$2,'FB 콘텐츠 data'!$A$1:$AH$1,0)),"")</f>
        <v/>
      </c>
      <c r="K28" s="196" t="str">
        <f>IFERROR(INDEX('FB 콘텐츠 data'!$A$1:$AR$25,MATCH('FB 신규발행'!$A28,'FB 콘텐츠 data'!$AR:$AR,0),MATCH(K$2,'FB 콘텐츠 data'!$A$1:$AR$1,0)),"")</f>
        <v/>
      </c>
      <c r="L28" s="197" t="str">
        <f>IFERROR(INDEX('FB 콘텐츠 data'!$A$1:$AH$25,MATCH('FB 신규발행'!$A28,'FB 콘텐츠 data'!$AR:$AR,0),MATCH(L$2,'FB 콘텐츠 data'!$A$1:$AH$1,0)),"")</f>
        <v/>
      </c>
      <c r="M28" s="197" t="str">
        <f>IFERROR(INDEX('FB 콘텐츠 data'!$A$1:$AH$25,MATCH('FB 신규발행'!$A28,'FB 콘텐츠 data'!$AR:$AR,0),MATCH(M$2,'FB 콘텐츠 data'!$A$1:$AH$1,0)),"")</f>
        <v/>
      </c>
      <c r="N28" s="197" t="str">
        <f>IFERROR(INDEX('FB 콘텐츠 data'!$A$1:$AH$25,MATCH('FB 신규발행'!$A28,'FB 콘텐츠 data'!$AR:$AR,0),MATCH(N$2,'FB 콘텐츠 data'!$A$1:$AH$1,0)),"")</f>
        <v/>
      </c>
      <c r="O28" s="197" t="str">
        <f>IFERROR(INDEX('FB 콘텐츠 data'!$A$1:$AH$25,MATCH('FB 신규발행'!$A28,'FB 콘텐츠 data'!$AR:$AR,0),MATCH(O$2,'FB 콘텐츠 data'!$A$1:$AH$1,0)),"")</f>
        <v/>
      </c>
      <c r="P28" s="197" t="str">
        <f>IFERROR(INDEX('FB 콘텐츠 data'!$A$1:$AH$25,MATCH('FB 신규발행'!$A28,'FB 콘텐츠 data'!$AR:$AR,0),MATCH(P$2,'FB 콘텐츠 data'!$A$1:$AH$1,0)),"")</f>
        <v/>
      </c>
      <c r="Q28" s="197" t="str">
        <f>IFERROR(INDEX('FB 콘텐츠 data'!$A$1:$AH$25,MATCH('FB 신규발행'!$A28,'FB 콘텐츠 data'!$AR:$AR,0),MATCH(Q$2,'FB 콘텐츠 data'!$A$1:$AH$1,0)),"")</f>
        <v/>
      </c>
      <c r="R28" s="198" t="str">
        <f t="shared" si="1"/>
        <v/>
      </c>
      <c r="T28" s="125" t="str">
        <f t="shared" si="2"/>
        <v/>
      </c>
      <c r="U28" s="125" t="str">
        <f t="shared" si="3"/>
        <v/>
      </c>
      <c r="V28" s="137" t="str">
        <f t="shared" si="4"/>
        <v/>
      </c>
      <c r="Y28" s="157"/>
    </row>
    <row r="29" spans="1:25" ht="17.45" customHeight="1">
      <c r="A29" s="156">
        <v>27</v>
      </c>
      <c r="B29" s="195" t="str">
        <f>IFERROR(INDEX('FB 콘텐츠 data'!AQ:AQ,MATCH('FB 신규발행'!A29,'FB 콘텐츠 data'!AR:AR,0)),"")</f>
        <v/>
      </c>
      <c r="C29" s="196" t="str">
        <f>IFERROR(INDEX('FB 콘텐츠 data'!$A$1:$AH$25,MATCH('FB 신규발행'!$A29,'FB 콘텐츠 data'!$AR:$AR,0),MATCH(C$2,'FB 콘텐츠 data'!$A$1:$AH$1,0)),"")</f>
        <v/>
      </c>
      <c r="D29" s="197" t="str">
        <f>IFERROR(INDEX('FB 콘텐츠 data'!$A$1:$AH$25,MATCH('FB 신규발행'!$A29,'FB 콘텐츠 data'!$AR:$AR,0),MATCH(D$2,'FB 콘텐츠 data'!$A$1:$AH$1,0)),"")</f>
        <v/>
      </c>
      <c r="E29" s="197" t="str">
        <f>IFERROR(INDEX('FB 콘텐츠 data'!$A$1:$AH$25,MATCH('FB 신규발행'!$A29,'FB 콘텐츠 data'!$AR:$AR,0),MATCH(E$2,'FB 콘텐츠 data'!$A$1:$AH$1,0)),"")</f>
        <v/>
      </c>
      <c r="F29" s="197" t="str">
        <f>IFERROR(INDEX('FB 콘텐츠 data'!$A$1:$AH$25,MATCH('FB 신규발행'!$A29,'FB 콘텐츠 data'!$AR:$AR,0),MATCH(F$2,'FB 콘텐츠 data'!$A$1:$AH$1,0)),"")</f>
        <v/>
      </c>
      <c r="G29" s="197" t="str">
        <f>IFERROR(INDEX('FB 콘텐츠 data'!$A$1:$AH$25,MATCH('FB 신규발행'!$A29,'FB 콘텐츠 data'!$AR:$AR,0),MATCH(G$2,'FB 콘텐츠 data'!$A$1:$AH$1,0)),"")</f>
        <v/>
      </c>
      <c r="H29" s="197" t="str">
        <f t="shared" si="0"/>
        <v/>
      </c>
      <c r="I29" s="197" t="str">
        <f>IFERROR(INDEX('FB 콘텐츠 data'!$A$1:$AH$25,MATCH('FB 신규발행'!$A29,'FB 콘텐츠 data'!$AR:$AR,0),MATCH(I$2,'FB 콘텐츠 data'!$A$1:$AH$1,0)),"")</f>
        <v/>
      </c>
      <c r="J29" s="197" t="str">
        <f>IFERROR(INDEX('FB 콘텐츠 data'!$A$1:$AH$25,MATCH('FB 신규발행'!$A29,'FB 콘텐츠 data'!$AR:$AR,0),MATCH(J$2,'FB 콘텐츠 data'!$A$1:$AH$1,0)),"")</f>
        <v/>
      </c>
      <c r="K29" s="196" t="str">
        <f>IFERROR(INDEX('FB 콘텐츠 data'!$A$1:$AR$25,MATCH('FB 신규발행'!$A29,'FB 콘텐츠 data'!$AR:$AR,0),MATCH(K$2,'FB 콘텐츠 data'!$A$1:$AR$1,0)),"")</f>
        <v/>
      </c>
      <c r="L29" s="197" t="str">
        <f>IFERROR(INDEX('FB 콘텐츠 data'!$A$1:$AH$25,MATCH('FB 신규발행'!$A29,'FB 콘텐츠 data'!$AR:$AR,0),MATCH(L$2,'FB 콘텐츠 data'!$A$1:$AH$1,0)),"")</f>
        <v/>
      </c>
      <c r="M29" s="197" t="str">
        <f>IFERROR(INDEX('FB 콘텐츠 data'!$A$1:$AH$25,MATCH('FB 신규발행'!$A29,'FB 콘텐츠 data'!$AR:$AR,0),MATCH(M$2,'FB 콘텐츠 data'!$A$1:$AH$1,0)),"")</f>
        <v/>
      </c>
      <c r="N29" s="197" t="str">
        <f>IFERROR(INDEX('FB 콘텐츠 data'!$A$1:$AH$25,MATCH('FB 신규발행'!$A29,'FB 콘텐츠 data'!$AR:$AR,0),MATCH(N$2,'FB 콘텐츠 data'!$A$1:$AH$1,0)),"")</f>
        <v/>
      </c>
      <c r="O29" s="197" t="str">
        <f>IFERROR(INDEX('FB 콘텐츠 data'!$A$1:$AH$25,MATCH('FB 신규발행'!$A29,'FB 콘텐츠 data'!$AR:$AR,0),MATCH(O$2,'FB 콘텐츠 data'!$A$1:$AH$1,0)),"")</f>
        <v/>
      </c>
      <c r="P29" s="197" t="str">
        <f>IFERROR(INDEX('FB 콘텐츠 data'!$A$1:$AH$25,MATCH('FB 신규발행'!$A29,'FB 콘텐츠 data'!$AR:$AR,0),MATCH(P$2,'FB 콘텐츠 data'!$A$1:$AH$1,0)),"")</f>
        <v/>
      </c>
      <c r="Q29" s="197" t="str">
        <f>IFERROR(INDEX('FB 콘텐츠 data'!$A$1:$AH$25,MATCH('FB 신규발행'!$A29,'FB 콘텐츠 data'!$AR:$AR,0),MATCH(Q$2,'FB 콘텐츠 data'!$A$1:$AH$1,0)),"")</f>
        <v/>
      </c>
      <c r="R29" s="198" t="str">
        <f t="shared" si="1"/>
        <v/>
      </c>
      <c r="T29" s="125" t="str">
        <f t="shared" si="2"/>
        <v/>
      </c>
      <c r="U29" s="125" t="str">
        <f t="shared" si="3"/>
        <v/>
      </c>
      <c r="V29" s="137" t="str">
        <f t="shared" si="4"/>
        <v/>
      </c>
      <c r="Y29" s="157"/>
    </row>
    <row r="30" spans="1:25" ht="17.45" customHeight="1">
      <c r="A30" s="156">
        <v>28</v>
      </c>
      <c r="B30" s="195" t="str">
        <f>IFERROR(INDEX('FB 콘텐츠 data'!AQ:AQ,MATCH('FB 신규발행'!A30,'FB 콘텐츠 data'!AR:AR,0)),"")</f>
        <v/>
      </c>
      <c r="C30" s="196" t="str">
        <f>IFERROR(INDEX('FB 콘텐츠 data'!$A$1:$AH$25,MATCH('FB 신규발행'!$A30,'FB 콘텐츠 data'!$AR:$AR,0),MATCH(C$2,'FB 콘텐츠 data'!$A$1:$AH$1,0)),"")</f>
        <v/>
      </c>
      <c r="D30" s="197" t="str">
        <f>IFERROR(INDEX('FB 콘텐츠 data'!$A$1:$AH$25,MATCH('FB 신규발행'!$A30,'FB 콘텐츠 data'!$AR:$AR,0),MATCH(D$2,'FB 콘텐츠 data'!$A$1:$AH$1,0)),"")</f>
        <v/>
      </c>
      <c r="E30" s="197" t="str">
        <f>IFERROR(INDEX('FB 콘텐츠 data'!$A$1:$AH$25,MATCH('FB 신규발행'!$A30,'FB 콘텐츠 data'!$AR:$AR,0),MATCH(E$2,'FB 콘텐츠 data'!$A$1:$AH$1,0)),"")</f>
        <v/>
      </c>
      <c r="F30" s="197" t="str">
        <f>IFERROR(INDEX('FB 콘텐츠 data'!$A$1:$AH$25,MATCH('FB 신규발행'!$A30,'FB 콘텐츠 data'!$AR:$AR,0),MATCH(F$2,'FB 콘텐츠 data'!$A$1:$AH$1,0)),"")</f>
        <v/>
      </c>
      <c r="G30" s="197" t="str">
        <f>IFERROR(INDEX('FB 콘텐츠 data'!$A$1:$AH$25,MATCH('FB 신규발행'!$A30,'FB 콘텐츠 data'!$AR:$AR,0),MATCH(G$2,'FB 콘텐츠 data'!$A$1:$AH$1,0)),"")</f>
        <v/>
      </c>
      <c r="H30" s="197" t="str">
        <f t="shared" si="0"/>
        <v/>
      </c>
      <c r="I30" s="197" t="str">
        <f>IFERROR(INDEX('FB 콘텐츠 data'!$A$1:$AH$25,MATCH('FB 신규발행'!$A30,'FB 콘텐츠 data'!$AR:$AR,0),MATCH(I$2,'FB 콘텐츠 data'!$A$1:$AH$1,0)),"")</f>
        <v/>
      </c>
      <c r="J30" s="197" t="str">
        <f>IFERROR(INDEX('FB 콘텐츠 data'!$A$1:$AH$25,MATCH('FB 신규발행'!$A30,'FB 콘텐츠 data'!$AR:$AR,0),MATCH(J$2,'FB 콘텐츠 data'!$A$1:$AH$1,0)),"")</f>
        <v/>
      </c>
      <c r="K30" s="196" t="str">
        <f>IFERROR(INDEX('FB 콘텐츠 data'!$A$1:$AR$25,MATCH('FB 신규발행'!$A30,'FB 콘텐츠 data'!$AR:$AR,0),MATCH(K$2,'FB 콘텐츠 data'!$A$1:$AR$1,0)),"")</f>
        <v/>
      </c>
      <c r="L30" s="197" t="str">
        <f>IFERROR(INDEX('FB 콘텐츠 data'!$A$1:$AH$25,MATCH('FB 신규발행'!$A30,'FB 콘텐츠 data'!$AR:$AR,0),MATCH(L$2,'FB 콘텐츠 data'!$A$1:$AH$1,0)),"")</f>
        <v/>
      </c>
      <c r="M30" s="197" t="str">
        <f>IFERROR(INDEX('FB 콘텐츠 data'!$A$1:$AH$25,MATCH('FB 신규발행'!$A30,'FB 콘텐츠 data'!$AR:$AR,0),MATCH(M$2,'FB 콘텐츠 data'!$A$1:$AH$1,0)),"")</f>
        <v/>
      </c>
      <c r="N30" s="197" t="str">
        <f>IFERROR(INDEX('FB 콘텐츠 data'!$A$1:$AH$25,MATCH('FB 신규발행'!$A30,'FB 콘텐츠 data'!$AR:$AR,0),MATCH(N$2,'FB 콘텐츠 data'!$A$1:$AH$1,0)),"")</f>
        <v/>
      </c>
      <c r="O30" s="197" t="str">
        <f>IFERROR(INDEX('FB 콘텐츠 data'!$A$1:$AH$25,MATCH('FB 신규발행'!$A30,'FB 콘텐츠 data'!$AR:$AR,0),MATCH(O$2,'FB 콘텐츠 data'!$A$1:$AH$1,0)),"")</f>
        <v/>
      </c>
      <c r="P30" s="197" t="str">
        <f>IFERROR(INDEX('FB 콘텐츠 data'!$A$1:$AH$25,MATCH('FB 신규발행'!$A30,'FB 콘텐츠 data'!$AR:$AR,0),MATCH(P$2,'FB 콘텐츠 data'!$A$1:$AH$1,0)),"")</f>
        <v/>
      </c>
      <c r="Q30" s="197" t="str">
        <f>IFERROR(INDEX('FB 콘텐츠 data'!$A$1:$AH$25,MATCH('FB 신규발행'!$A30,'FB 콘텐츠 data'!$AR:$AR,0),MATCH(Q$2,'FB 콘텐츠 data'!$A$1:$AH$1,0)),"")</f>
        <v/>
      </c>
      <c r="R30" s="198" t="str">
        <f t="shared" si="1"/>
        <v/>
      </c>
      <c r="T30" s="125" t="str">
        <f t="shared" si="2"/>
        <v/>
      </c>
      <c r="U30" s="125" t="str">
        <f t="shared" si="3"/>
        <v/>
      </c>
      <c r="V30" s="137" t="str">
        <f t="shared" si="4"/>
        <v/>
      </c>
      <c r="Y30" s="157"/>
    </row>
    <row r="31" spans="1:25" ht="17.45" customHeight="1">
      <c r="A31" s="156">
        <v>29</v>
      </c>
      <c r="B31" s="195" t="str">
        <f>IFERROR(INDEX('FB 콘텐츠 data'!AQ:AQ,MATCH('FB 신규발행'!A31,'FB 콘텐츠 data'!AR:AR,0)),"")</f>
        <v/>
      </c>
      <c r="C31" s="196" t="str">
        <f>IFERROR(INDEX('FB 콘텐츠 data'!$A$1:$AH$25,MATCH('FB 신규발행'!$A31,'FB 콘텐츠 data'!$AR:$AR,0),MATCH(C$2,'FB 콘텐츠 data'!$A$1:$AH$1,0)),"")</f>
        <v/>
      </c>
      <c r="D31" s="197" t="str">
        <f>IFERROR(INDEX('FB 콘텐츠 data'!$A$1:$AH$25,MATCH('FB 신규발행'!$A31,'FB 콘텐츠 data'!$AR:$AR,0),MATCH(D$2,'FB 콘텐츠 data'!$A$1:$AH$1,0)),"")</f>
        <v/>
      </c>
      <c r="E31" s="197" t="str">
        <f>IFERROR(INDEX('FB 콘텐츠 data'!$A$1:$AH$25,MATCH('FB 신규발행'!$A31,'FB 콘텐츠 data'!$AR:$AR,0),MATCH(E$2,'FB 콘텐츠 data'!$A$1:$AH$1,0)),"")</f>
        <v/>
      </c>
      <c r="F31" s="197" t="str">
        <f>IFERROR(INDEX('FB 콘텐츠 data'!$A$1:$AH$25,MATCH('FB 신규발행'!$A31,'FB 콘텐츠 data'!$AR:$AR,0),MATCH(F$2,'FB 콘텐츠 data'!$A$1:$AH$1,0)),"")</f>
        <v/>
      </c>
      <c r="G31" s="197" t="str">
        <f>IFERROR(INDEX('FB 콘텐츠 data'!$A$1:$AH$25,MATCH('FB 신규발행'!$A31,'FB 콘텐츠 data'!$AR:$AR,0),MATCH(G$2,'FB 콘텐츠 data'!$A$1:$AH$1,0)),"")</f>
        <v/>
      </c>
      <c r="H31" s="197" t="str">
        <f t="shared" si="0"/>
        <v/>
      </c>
      <c r="I31" s="197" t="str">
        <f>IFERROR(INDEX('FB 콘텐츠 data'!$A$1:$AH$25,MATCH('FB 신규발행'!$A31,'FB 콘텐츠 data'!$AR:$AR,0),MATCH(I$2,'FB 콘텐츠 data'!$A$1:$AH$1,0)),"")</f>
        <v/>
      </c>
      <c r="J31" s="197" t="str">
        <f>IFERROR(INDEX('FB 콘텐츠 data'!$A$1:$AH$25,MATCH('FB 신규발행'!$A31,'FB 콘텐츠 data'!$AR:$AR,0),MATCH(J$2,'FB 콘텐츠 data'!$A$1:$AH$1,0)),"")</f>
        <v/>
      </c>
      <c r="K31" s="196" t="str">
        <f>IFERROR(INDEX('FB 콘텐츠 data'!$A$1:$AR$25,MATCH('FB 신규발행'!$A31,'FB 콘텐츠 data'!$AR:$AR,0),MATCH(K$2,'FB 콘텐츠 data'!$A$1:$AR$1,0)),"")</f>
        <v/>
      </c>
      <c r="L31" s="197" t="str">
        <f>IFERROR(INDEX('FB 콘텐츠 data'!$A$1:$AH$25,MATCH('FB 신규발행'!$A31,'FB 콘텐츠 data'!$AR:$AR,0),MATCH(L$2,'FB 콘텐츠 data'!$A$1:$AH$1,0)),"")</f>
        <v/>
      </c>
      <c r="M31" s="197" t="str">
        <f>IFERROR(INDEX('FB 콘텐츠 data'!$A$1:$AH$25,MATCH('FB 신규발행'!$A31,'FB 콘텐츠 data'!$AR:$AR,0),MATCH(M$2,'FB 콘텐츠 data'!$A$1:$AH$1,0)),"")</f>
        <v/>
      </c>
      <c r="N31" s="197" t="str">
        <f>IFERROR(INDEX('FB 콘텐츠 data'!$A$1:$AH$25,MATCH('FB 신규발행'!$A31,'FB 콘텐츠 data'!$AR:$AR,0),MATCH(N$2,'FB 콘텐츠 data'!$A$1:$AH$1,0)),"")</f>
        <v/>
      </c>
      <c r="O31" s="197" t="str">
        <f>IFERROR(INDEX('FB 콘텐츠 data'!$A$1:$AH$25,MATCH('FB 신규발행'!$A31,'FB 콘텐츠 data'!$AR:$AR,0),MATCH(O$2,'FB 콘텐츠 data'!$A$1:$AH$1,0)),"")</f>
        <v/>
      </c>
      <c r="P31" s="197" t="str">
        <f>IFERROR(INDEX('FB 콘텐츠 data'!$A$1:$AH$25,MATCH('FB 신규발행'!$A31,'FB 콘텐츠 data'!$AR:$AR,0),MATCH(P$2,'FB 콘텐츠 data'!$A$1:$AH$1,0)),"")</f>
        <v/>
      </c>
      <c r="Q31" s="197" t="str">
        <f>IFERROR(INDEX('FB 콘텐츠 data'!$A$1:$AH$25,MATCH('FB 신규발행'!$A31,'FB 콘텐츠 data'!$AR:$AR,0),MATCH(Q$2,'FB 콘텐츠 data'!$A$1:$AH$1,0)),"")</f>
        <v/>
      </c>
      <c r="R31" s="198" t="str">
        <f t="shared" si="1"/>
        <v/>
      </c>
      <c r="T31" s="125" t="str">
        <f t="shared" si="2"/>
        <v/>
      </c>
      <c r="U31" s="125" t="str">
        <f t="shared" si="3"/>
        <v/>
      </c>
      <c r="V31" s="137" t="str">
        <f t="shared" si="4"/>
        <v/>
      </c>
      <c r="Y31" s="157"/>
    </row>
    <row r="32" spans="1:25" ht="17.45" customHeight="1">
      <c r="A32" s="156">
        <v>30</v>
      </c>
      <c r="B32" s="195" t="str">
        <f>IFERROR(INDEX('FB 콘텐츠 data'!AQ:AQ,MATCH('FB 신규발행'!A32,'FB 콘텐츠 data'!AR:AR,0)),"")</f>
        <v/>
      </c>
      <c r="C32" s="196" t="str">
        <f>IFERROR(INDEX('FB 콘텐츠 data'!$A$1:$AH$25,MATCH('FB 신규발행'!$A32,'FB 콘텐츠 data'!$AR:$AR,0),MATCH(C$2,'FB 콘텐츠 data'!$A$1:$AH$1,0)),"")</f>
        <v/>
      </c>
      <c r="D32" s="197" t="str">
        <f>IFERROR(INDEX('FB 콘텐츠 data'!$A$1:$AH$25,MATCH('FB 신규발행'!$A32,'FB 콘텐츠 data'!$AR:$AR,0),MATCH(D$2,'FB 콘텐츠 data'!$A$1:$AH$1,0)),"")</f>
        <v/>
      </c>
      <c r="E32" s="197" t="str">
        <f>IFERROR(INDEX('FB 콘텐츠 data'!$A$1:$AH$25,MATCH('FB 신규발행'!$A32,'FB 콘텐츠 data'!$AR:$AR,0),MATCH(E$2,'FB 콘텐츠 data'!$A$1:$AH$1,0)),"")</f>
        <v/>
      </c>
      <c r="F32" s="197" t="str">
        <f>IFERROR(INDEX('FB 콘텐츠 data'!$A$1:$AH$25,MATCH('FB 신규발행'!$A32,'FB 콘텐츠 data'!$AR:$AR,0),MATCH(F$2,'FB 콘텐츠 data'!$A$1:$AH$1,0)),"")</f>
        <v/>
      </c>
      <c r="G32" s="197" t="str">
        <f>IFERROR(INDEX('FB 콘텐츠 data'!$A$1:$AH$25,MATCH('FB 신규발행'!$A32,'FB 콘텐츠 data'!$AR:$AR,0),MATCH(G$2,'FB 콘텐츠 data'!$A$1:$AH$1,0)),"")</f>
        <v/>
      </c>
      <c r="H32" s="197" t="str">
        <f t="shared" si="0"/>
        <v/>
      </c>
      <c r="I32" s="197" t="str">
        <f>IFERROR(INDEX('FB 콘텐츠 data'!$A$1:$AH$25,MATCH('FB 신규발행'!$A32,'FB 콘텐츠 data'!$AR:$AR,0),MATCH(I$2,'FB 콘텐츠 data'!$A$1:$AH$1,0)),"")</f>
        <v/>
      </c>
      <c r="J32" s="197" t="str">
        <f>IFERROR(INDEX('FB 콘텐츠 data'!$A$1:$AH$25,MATCH('FB 신규발행'!$A32,'FB 콘텐츠 data'!$AR:$AR,0),MATCH(J$2,'FB 콘텐츠 data'!$A$1:$AH$1,0)),"")</f>
        <v/>
      </c>
      <c r="K32" s="196" t="str">
        <f>IFERROR(INDEX('FB 콘텐츠 data'!$A$1:$AR$25,MATCH('FB 신규발행'!$A32,'FB 콘텐츠 data'!$AR:$AR,0),MATCH(K$2,'FB 콘텐츠 data'!$A$1:$AR$1,0)),"")</f>
        <v/>
      </c>
      <c r="L32" s="197" t="str">
        <f>IFERROR(INDEX('FB 콘텐츠 data'!$A$1:$AH$25,MATCH('FB 신규발행'!$A32,'FB 콘텐츠 data'!$AR:$AR,0),MATCH(L$2,'FB 콘텐츠 data'!$A$1:$AH$1,0)),"")</f>
        <v/>
      </c>
      <c r="M32" s="197" t="str">
        <f>IFERROR(INDEX('FB 콘텐츠 data'!$A$1:$AH$25,MATCH('FB 신규발행'!$A32,'FB 콘텐츠 data'!$AR:$AR,0),MATCH(M$2,'FB 콘텐츠 data'!$A$1:$AH$1,0)),"")</f>
        <v/>
      </c>
      <c r="N32" s="197" t="str">
        <f>IFERROR(INDEX('FB 콘텐츠 data'!$A$1:$AH$25,MATCH('FB 신규발행'!$A32,'FB 콘텐츠 data'!$AR:$AR,0),MATCH(N$2,'FB 콘텐츠 data'!$A$1:$AH$1,0)),"")</f>
        <v/>
      </c>
      <c r="O32" s="197" t="str">
        <f>IFERROR(INDEX('FB 콘텐츠 data'!$A$1:$AH$25,MATCH('FB 신규발행'!$A32,'FB 콘텐츠 data'!$AR:$AR,0),MATCH(O$2,'FB 콘텐츠 data'!$A$1:$AH$1,0)),"")</f>
        <v/>
      </c>
      <c r="P32" s="197" t="str">
        <f>IFERROR(INDEX('FB 콘텐츠 data'!$A$1:$AH$25,MATCH('FB 신규발행'!$A32,'FB 콘텐츠 data'!$AR:$AR,0),MATCH(P$2,'FB 콘텐츠 data'!$A$1:$AH$1,0)),"")</f>
        <v/>
      </c>
      <c r="Q32" s="197" t="str">
        <f>IFERROR(INDEX('FB 콘텐츠 data'!$A$1:$AH$25,MATCH('FB 신규발행'!$A32,'FB 콘텐츠 data'!$AR:$AR,0),MATCH(Q$2,'FB 콘텐츠 data'!$A$1:$AH$1,0)),"")</f>
        <v/>
      </c>
      <c r="R32" s="198" t="str">
        <f t="shared" si="1"/>
        <v/>
      </c>
      <c r="T32" s="125" t="str">
        <f t="shared" si="2"/>
        <v/>
      </c>
      <c r="U32" s="125" t="str">
        <f t="shared" si="3"/>
        <v/>
      </c>
      <c r="V32" s="137" t="str">
        <f t="shared" si="4"/>
        <v/>
      </c>
      <c r="Y32" s="157"/>
    </row>
    <row r="33" spans="1:25" ht="17.45" customHeight="1">
      <c r="A33" s="156">
        <v>31</v>
      </c>
      <c r="B33" s="195" t="str">
        <f>IFERROR(INDEX('FB 콘텐츠 data'!AQ:AQ,MATCH('FB 신규발행'!A33,'FB 콘텐츠 data'!AR:AR,0)),"")</f>
        <v/>
      </c>
      <c r="C33" s="196" t="str">
        <f>IFERROR(INDEX('FB 콘텐츠 data'!$A$1:$AH$25,MATCH('FB 신규발행'!$A33,'FB 콘텐츠 data'!$AR:$AR,0),MATCH(C$2,'FB 콘텐츠 data'!$A$1:$AH$1,0)),"")</f>
        <v/>
      </c>
      <c r="D33" s="197" t="str">
        <f>IFERROR(INDEX('FB 콘텐츠 data'!$A$1:$AH$25,MATCH('FB 신규발행'!$A33,'FB 콘텐츠 data'!$AR:$AR,0),MATCH(D$2,'FB 콘텐츠 data'!$A$1:$AH$1,0)),"")</f>
        <v/>
      </c>
      <c r="E33" s="197" t="str">
        <f>IFERROR(INDEX('FB 콘텐츠 data'!$A$1:$AH$25,MATCH('FB 신규발행'!$A33,'FB 콘텐츠 data'!$AR:$AR,0),MATCH(E$2,'FB 콘텐츠 data'!$A$1:$AH$1,0)),"")</f>
        <v/>
      </c>
      <c r="F33" s="197" t="str">
        <f>IFERROR(INDEX('FB 콘텐츠 data'!$A$1:$AH$25,MATCH('FB 신규발행'!$A33,'FB 콘텐츠 data'!$AR:$AR,0),MATCH(F$2,'FB 콘텐츠 data'!$A$1:$AH$1,0)),"")</f>
        <v/>
      </c>
      <c r="G33" s="197" t="str">
        <f>IFERROR(INDEX('FB 콘텐츠 data'!$A$1:$AH$25,MATCH('FB 신규발행'!$A33,'FB 콘텐츠 data'!$AR:$AR,0),MATCH(G$2,'FB 콘텐츠 data'!$A$1:$AH$1,0)),"")</f>
        <v/>
      </c>
      <c r="H33" s="197" t="str">
        <f t="shared" si="0"/>
        <v/>
      </c>
      <c r="I33" s="197" t="str">
        <f>IFERROR(INDEX('FB 콘텐츠 data'!$A$1:$AH$25,MATCH('FB 신규발행'!$A33,'FB 콘텐츠 data'!$AR:$AR,0),MATCH(I$2,'FB 콘텐츠 data'!$A$1:$AH$1,0)),"")</f>
        <v/>
      </c>
      <c r="J33" s="197" t="str">
        <f>IFERROR(INDEX('FB 콘텐츠 data'!$A$1:$AH$25,MATCH('FB 신규발행'!$A33,'FB 콘텐츠 data'!$AR:$AR,0),MATCH(J$2,'FB 콘텐츠 data'!$A$1:$AH$1,0)),"")</f>
        <v/>
      </c>
      <c r="K33" s="196" t="str">
        <f>IFERROR(INDEX('FB 콘텐츠 data'!$A$1:$AR$25,MATCH('FB 신규발행'!$A33,'FB 콘텐츠 data'!$AR:$AR,0),MATCH(K$2,'FB 콘텐츠 data'!$A$1:$AR$1,0)),"")</f>
        <v/>
      </c>
      <c r="L33" s="197" t="str">
        <f>IFERROR(INDEX('FB 콘텐츠 data'!$A$1:$AH$25,MATCH('FB 신규발행'!$A33,'FB 콘텐츠 data'!$AR:$AR,0),MATCH(L$2,'FB 콘텐츠 data'!$A$1:$AH$1,0)),"")</f>
        <v/>
      </c>
      <c r="M33" s="197" t="str">
        <f>IFERROR(INDEX('FB 콘텐츠 data'!$A$1:$AH$25,MATCH('FB 신규발행'!$A33,'FB 콘텐츠 data'!$AR:$AR,0),MATCH(M$2,'FB 콘텐츠 data'!$A$1:$AH$1,0)),"")</f>
        <v/>
      </c>
      <c r="N33" s="197" t="str">
        <f>IFERROR(INDEX('FB 콘텐츠 data'!$A$1:$AH$25,MATCH('FB 신규발행'!$A33,'FB 콘텐츠 data'!$AR:$AR,0),MATCH(N$2,'FB 콘텐츠 data'!$A$1:$AH$1,0)),"")</f>
        <v/>
      </c>
      <c r="O33" s="197" t="str">
        <f>IFERROR(INDEX('FB 콘텐츠 data'!$A$1:$AH$25,MATCH('FB 신규발행'!$A33,'FB 콘텐츠 data'!$AR:$AR,0),MATCH(O$2,'FB 콘텐츠 data'!$A$1:$AH$1,0)),"")</f>
        <v/>
      </c>
      <c r="P33" s="197" t="str">
        <f>IFERROR(INDEX('FB 콘텐츠 data'!$A$1:$AH$25,MATCH('FB 신규발행'!$A33,'FB 콘텐츠 data'!$AR:$AR,0),MATCH(P$2,'FB 콘텐츠 data'!$A$1:$AH$1,0)),"")</f>
        <v/>
      </c>
      <c r="Q33" s="197" t="str">
        <f>IFERROR(INDEX('FB 콘텐츠 data'!$A$1:$AH$25,MATCH('FB 신규발행'!$A33,'FB 콘텐츠 data'!$AR:$AR,0),MATCH(Q$2,'FB 콘텐츠 data'!$A$1:$AH$1,0)),"")</f>
        <v/>
      </c>
      <c r="R33" s="198" t="str">
        <f t="shared" si="1"/>
        <v/>
      </c>
      <c r="T33" s="125" t="str">
        <f t="shared" si="2"/>
        <v/>
      </c>
      <c r="U33" s="125" t="str">
        <f t="shared" si="3"/>
        <v/>
      </c>
      <c r="V33" s="137" t="str">
        <f t="shared" si="4"/>
        <v/>
      </c>
      <c r="Y33" s="157"/>
    </row>
    <row r="34" spans="1:25" ht="17.45" customHeight="1">
      <c r="A34" s="156">
        <v>32</v>
      </c>
      <c r="B34" s="195" t="str">
        <f>IFERROR(INDEX('FB 콘텐츠 data'!AQ:AQ,MATCH('FB 신규발행'!A34,'FB 콘텐츠 data'!AR:AR,0)),"")</f>
        <v/>
      </c>
      <c r="C34" s="196" t="str">
        <f>IFERROR(INDEX('FB 콘텐츠 data'!$A$1:$AH$25,MATCH('FB 신규발행'!$A34,'FB 콘텐츠 data'!$AR:$AR,0),MATCH(C$2,'FB 콘텐츠 data'!$A$1:$AH$1,0)),"")</f>
        <v/>
      </c>
      <c r="D34" s="197" t="str">
        <f>IFERROR(INDEX('FB 콘텐츠 data'!$A$1:$AH$25,MATCH('FB 신규발행'!$A34,'FB 콘텐츠 data'!$AR:$AR,0),MATCH(D$2,'FB 콘텐츠 data'!$A$1:$AH$1,0)),"")</f>
        <v/>
      </c>
      <c r="E34" s="197" t="str">
        <f>IFERROR(INDEX('FB 콘텐츠 data'!$A$1:$AH$25,MATCH('FB 신규발행'!$A34,'FB 콘텐츠 data'!$AR:$AR,0),MATCH(E$2,'FB 콘텐츠 data'!$A$1:$AH$1,0)),"")</f>
        <v/>
      </c>
      <c r="F34" s="197" t="str">
        <f>IFERROR(INDEX('FB 콘텐츠 data'!$A$1:$AH$25,MATCH('FB 신규발행'!$A34,'FB 콘텐츠 data'!$AR:$AR,0),MATCH(F$2,'FB 콘텐츠 data'!$A$1:$AH$1,0)),"")</f>
        <v/>
      </c>
      <c r="G34" s="197" t="str">
        <f>IFERROR(INDEX('FB 콘텐츠 data'!$A$1:$AH$25,MATCH('FB 신규발행'!$A34,'FB 콘텐츠 data'!$AR:$AR,0),MATCH(G$2,'FB 콘텐츠 data'!$A$1:$AH$1,0)),"")</f>
        <v/>
      </c>
      <c r="H34" s="197" t="str">
        <f t="shared" si="0"/>
        <v/>
      </c>
      <c r="I34" s="197" t="str">
        <f>IFERROR(INDEX('FB 콘텐츠 data'!$A$1:$AH$25,MATCH('FB 신규발행'!$A34,'FB 콘텐츠 data'!$AR:$AR,0),MATCH(I$2,'FB 콘텐츠 data'!$A$1:$AH$1,0)),"")</f>
        <v/>
      </c>
      <c r="J34" s="197" t="str">
        <f>IFERROR(INDEX('FB 콘텐츠 data'!$A$1:$AH$25,MATCH('FB 신규발행'!$A34,'FB 콘텐츠 data'!$AR:$AR,0),MATCH(J$2,'FB 콘텐츠 data'!$A$1:$AH$1,0)),"")</f>
        <v/>
      </c>
      <c r="K34" s="196" t="str">
        <f>IFERROR(INDEX('FB 콘텐츠 data'!$A$1:$AR$25,MATCH('FB 신규발행'!$A34,'FB 콘텐츠 data'!$AR:$AR,0),MATCH(K$2,'FB 콘텐츠 data'!$A$1:$AR$1,0)),"")</f>
        <v/>
      </c>
      <c r="L34" s="197" t="str">
        <f>IFERROR(INDEX('FB 콘텐츠 data'!$A$1:$AH$25,MATCH('FB 신규발행'!$A34,'FB 콘텐츠 data'!$AR:$AR,0),MATCH(L$2,'FB 콘텐츠 data'!$A$1:$AH$1,0)),"")</f>
        <v/>
      </c>
      <c r="M34" s="197" t="str">
        <f>IFERROR(INDEX('FB 콘텐츠 data'!$A$1:$AH$25,MATCH('FB 신규발행'!$A34,'FB 콘텐츠 data'!$AR:$AR,0),MATCH(M$2,'FB 콘텐츠 data'!$A$1:$AH$1,0)),"")</f>
        <v/>
      </c>
      <c r="N34" s="197" t="str">
        <f>IFERROR(INDEX('FB 콘텐츠 data'!$A$1:$AH$25,MATCH('FB 신규발행'!$A34,'FB 콘텐츠 data'!$AR:$AR,0),MATCH(N$2,'FB 콘텐츠 data'!$A$1:$AH$1,0)),"")</f>
        <v/>
      </c>
      <c r="O34" s="197" t="str">
        <f>IFERROR(INDEX('FB 콘텐츠 data'!$A$1:$AH$25,MATCH('FB 신규발행'!$A34,'FB 콘텐츠 data'!$AR:$AR,0),MATCH(O$2,'FB 콘텐츠 data'!$A$1:$AH$1,0)),"")</f>
        <v/>
      </c>
      <c r="P34" s="197" t="str">
        <f>IFERROR(INDEX('FB 콘텐츠 data'!$A$1:$AH$25,MATCH('FB 신규발행'!$A34,'FB 콘텐츠 data'!$AR:$AR,0),MATCH(P$2,'FB 콘텐츠 data'!$A$1:$AH$1,0)),"")</f>
        <v/>
      </c>
      <c r="Q34" s="197" t="str">
        <f>IFERROR(INDEX('FB 콘텐츠 data'!$A$1:$AH$25,MATCH('FB 신규발행'!$A34,'FB 콘텐츠 data'!$AR:$AR,0),MATCH(Q$2,'FB 콘텐츠 data'!$A$1:$AH$1,0)),"")</f>
        <v/>
      </c>
      <c r="R34" s="198" t="str">
        <f t="shared" si="1"/>
        <v/>
      </c>
      <c r="T34" s="125" t="str">
        <f t="shared" si="2"/>
        <v/>
      </c>
      <c r="U34" s="125" t="str">
        <f t="shared" si="3"/>
        <v/>
      </c>
      <c r="Y34" s="157"/>
    </row>
    <row r="35" spans="1:25" ht="17.45" customHeight="1">
      <c r="A35" s="156">
        <v>33</v>
      </c>
      <c r="B35" s="195" t="str">
        <f>IFERROR(INDEX('FB 콘텐츠 data'!AQ:AQ,MATCH('FB 신규발행'!A35,'FB 콘텐츠 data'!AR:AR,0)),"")</f>
        <v/>
      </c>
      <c r="C35" s="196" t="str">
        <f>IFERROR(INDEX('FB 콘텐츠 data'!$A$1:$AH$25,MATCH('FB 신규발행'!$A35,'FB 콘텐츠 data'!$AR:$AR,0),MATCH(C$2,'FB 콘텐츠 data'!$A$1:$AH$1,0)),"")</f>
        <v/>
      </c>
      <c r="D35" s="197" t="str">
        <f>IFERROR(INDEX('FB 콘텐츠 data'!$A$1:$AH$25,MATCH('FB 신규발행'!$A35,'FB 콘텐츠 data'!$AR:$AR,0),MATCH(D$2,'FB 콘텐츠 data'!$A$1:$AH$1,0)),"")</f>
        <v/>
      </c>
      <c r="E35" s="197" t="str">
        <f>IFERROR(INDEX('FB 콘텐츠 data'!$A$1:$AH$25,MATCH('FB 신규발행'!$A35,'FB 콘텐츠 data'!$AR:$AR,0),MATCH(E$2,'FB 콘텐츠 data'!$A$1:$AH$1,0)),"")</f>
        <v/>
      </c>
      <c r="F35" s="197" t="str">
        <f>IFERROR(INDEX('FB 콘텐츠 data'!$A$1:$AH$25,MATCH('FB 신규발행'!$A35,'FB 콘텐츠 data'!$AR:$AR,0),MATCH(F$2,'FB 콘텐츠 data'!$A$1:$AH$1,0)),"")</f>
        <v/>
      </c>
      <c r="G35" s="197" t="str">
        <f>IFERROR(INDEX('FB 콘텐츠 data'!$A$1:$AH$25,MATCH('FB 신규발행'!$A35,'FB 콘텐츠 data'!$AR:$AR,0),MATCH(G$2,'FB 콘텐츠 data'!$A$1:$AH$1,0)),"")</f>
        <v/>
      </c>
      <c r="H35" s="197" t="str">
        <f t="shared" ref="H35:H66" si="5">IF(B35="","",I35+J35+O35+Q35)</f>
        <v/>
      </c>
      <c r="I35" s="197" t="str">
        <f>IFERROR(INDEX('FB 콘텐츠 data'!$A$1:$AH$25,MATCH('FB 신규발행'!$A35,'FB 콘텐츠 data'!$AR:$AR,0),MATCH(I$2,'FB 콘텐츠 data'!$A$1:$AH$1,0)),"")</f>
        <v/>
      </c>
      <c r="J35" s="197" t="str">
        <f>IFERROR(INDEX('FB 콘텐츠 data'!$A$1:$AH$25,MATCH('FB 신규발행'!$A35,'FB 콘텐츠 data'!$AR:$AR,0),MATCH(J$2,'FB 콘텐츠 data'!$A$1:$AH$1,0)),"")</f>
        <v/>
      </c>
      <c r="K35" s="196" t="str">
        <f>IFERROR(INDEX('FB 콘텐츠 data'!$A$1:$AR$25,MATCH('FB 신규발행'!$A35,'FB 콘텐츠 data'!$AR:$AR,0),MATCH(K$2,'FB 콘텐츠 data'!$A$1:$AR$1,0)),"")</f>
        <v/>
      </c>
      <c r="L35" s="197" t="str">
        <f>IFERROR(INDEX('FB 콘텐츠 data'!$A$1:$AH$25,MATCH('FB 신규발행'!$A35,'FB 콘텐츠 data'!$AR:$AR,0),MATCH(L$2,'FB 콘텐츠 data'!$A$1:$AH$1,0)),"")</f>
        <v/>
      </c>
      <c r="M35" s="197" t="str">
        <f>IFERROR(INDEX('FB 콘텐츠 data'!$A$1:$AH$25,MATCH('FB 신규발행'!$A35,'FB 콘텐츠 data'!$AR:$AR,0),MATCH(M$2,'FB 콘텐츠 data'!$A$1:$AH$1,0)),"")</f>
        <v/>
      </c>
      <c r="N35" s="197" t="str">
        <f>IFERROR(INDEX('FB 콘텐츠 data'!$A$1:$AH$25,MATCH('FB 신규발행'!$A35,'FB 콘텐츠 data'!$AR:$AR,0),MATCH(N$2,'FB 콘텐츠 data'!$A$1:$AH$1,0)),"")</f>
        <v/>
      </c>
      <c r="O35" s="197" t="str">
        <f>IFERROR(INDEX('FB 콘텐츠 data'!$A$1:$AH$25,MATCH('FB 신규발행'!$A35,'FB 콘텐츠 data'!$AR:$AR,0),MATCH(O$2,'FB 콘텐츠 data'!$A$1:$AH$1,0)),"")</f>
        <v/>
      </c>
      <c r="P35" s="197" t="str">
        <f>IFERROR(INDEX('FB 콘텐츠 data'!$A$1:$AH$25,MATCH('FB 신규발행'!$A35,'FB 콘텐츠 data'!$AR:$AR,0),MATCH(P$2,'FB 콘텐츠 data'!$A$1:$AH$1,0)),"")</f>
        <v/>
      </c>
      <c r="Q35" s="197" t="str">
        <f>IFERROR(INDEX('FB 콘텐츠 data'!$A$1:$AH$25,MATCH('FB 신규발행'!$A35,'FB 콘텐츠 data'!$AR:$AR,0),MATCH(Q$2,'FB 콘텐츠 data'!$A$1:$AH$1,0)),"")</f>
        <v/>
      </c>
      <c r="R35" s="198" t="str">
        <f t="shared" ref="R35:R66" si="6">IFERROR(H35/F35,"")</f>
        <v/>
      </c>
      <c r="T35" s="125" t="str">
        <f t="shared" ref="T35:T66" si="7">IFERROR(RANK(R35,$R$3:$R$82,0),"")</f>
        <v/>
      </c>
      <c r="U35" s="125" t="str">
        <f t="shared" ref="U35:U66" si="8">IFERROR(RANK(E35,$E$3:$E$82,0),"")</f>
        <v/>
      </c>
      <c r="Y35" s="157"/>
    </row>
    <row r="36" spans="1:25" ht="17.45" customHeight="1">
      <c r="A36" s="156">
        <v>34</v>
      </c>
      <c r="B36" s="195" t="str">
        <f>IFERROR(INDEX('FB 콘텐츠 data'!AQ:AQ,MATCH('FB 신규발행'!A36,'FB 콘텐츠 data'!AR:AR,0)),"")</f>
        <v/>
      </c>
      <c r="C36" s="196" t="str">
        <f>IFERROR(INDEX('FB 콘텐츠 data'!$A$1:$AH$25,MATCH('FB 신규발행'!$A36,'FB 콘텐츠 data'!$AR:$AR,0),MATCH(C$2,'FB 콘텐츠 data'!$A$1:$AH$1,0)),"")</f>
        <v/>
      </c>
      <c r="D36" s="197" t="str">
        <f>IFERROR(INDEX('FB 콘텐츠 data'!$A$1:$AH$25,MATCH('FB 신규발행'!$A36,'FB 콘텐츠 data'!$AR:$AR,0),MATCH(D$2,'FB 콘텐츠 data'!$A$1:$AH$1,0)),"")</f>
        <v/>
      </c>
      <c r="E36" s="197" t="str">
        <f>IFERROR(INDEX('FB 콘텐츠 data'!$A$1:$AH$25,MATCH('FB 신규발행'!$A36,'FB 콘텐츠 data'!$AR:$AR,0),MATCH(E$2,'FB 콘텐츠 data'!$A$1:$AH$1,0)),"")</f>
        <v/>
      </c>
      <c r="F36" s="197" t="str">
        <f>IFERROR(INDEX('FB 콘텐츠 data'!$A$1:$AH$25,MATCH('FB 신규발행'!$A36,'FB 콘텐츠 data'!$AR:$AR,0),MATCH(F$2,'FB 콘텐츠 data'!$A$1:$AH$1,0)),"")</f>
        <v/>
      </c>
      <c r="G36" s="197" t="str">
        <f>IFERROR(INDEX('FB 콘텐츠 data'!$A$1:$AH$25,MATCH('FB 신규발행'!$A36,'FB 콘텐츠 data'!$AR:$AR,0),MATCH(G$2,'FB 콘텐츠 data'!$A$1:$AH$1,0)),"")</f>
        <v/>
      </c>
      <c r="H36" s="197" t="str">
        <f t="shared" si="5"/>
        <v/>
      </c>
      <c r="I36" s="197" t="str">
        <f>IFERROR(INDEX('FB 콘텐츠 data'!$A$1:$AH$25,MATCH('FB 신규발행'!$A36,'FB 콘텐츠 data'!$AR:$AR,0),MATCH(I$2,'FB 콘텐츠 data'!$A$1:$AH$1,0)),"")</f>
        <v/>
      </c>
      <c r="J36" s="197" t="str">
        <f>IFERROR(INDEX('FB 콘텐츠 data'!$A$1:$AH$25,MATCH('FB 신규발행'!$A36,'FB 콘텐츠 data'!$AR:$AR,0),MATCH(J$2,'FB 콘텐츠 data'!$A$1:$AH$1,0)),"")</f>
        <v/>
      </c>
      <c r="K36" s="196" t="str">
        <f>IFERROR(INDEX('FB 콘텐츠 data'!$A$1:$AR$25,MATCH('FB 신규발행'!$A36,'FB 콘텐츠 data'!$AR:$AR,0),MATCH(K$2,'FB 콘텐츠 data'!$A$1:$AR$1,0)),"")</f>
        <v/>
      </c>
      <c r="L36" s="197" t="str">
        <f>IFERROR(INDEX('FB 콘텐츠 data'!$A$1:$AH$25,MATCH('FB 신규발행'!$A36,'FB 콘텐츠 data'!$AR:$AR,0),MATCH(L$2,'FB 콘텐츠 data'!$A$1:$AH$1,0)),"")</f>
        <v/>
      </c>
      <c r="M36" s="197" t="str">
        <f>IFERROR(INDEX('FB 콘텐츠 data'!$A$1:$AH$25,MATCH('FB 신규발행'!$A36,'FB 콘텐츠 data'!$AR:$AR,0),MATCH(M$2,'FB 콘텐츠 data'!$A$1:$AH$1,0)),"")</f>
        <v/>
      </c>
      <c r="N36" s="197" t="str">
        <f>IFERROR(INDEX('FB 콘텐츠 data'!$A$1:$AH$25,MATCH('FB 신규발행'!$A36,'FB 콘텐츠 data'!$AR:$AR,0),MATCH(N$2,'FB 콘텐츠 data'!$A$1:$AH$1,0)),"")</f>
        <v/>
      </c>
      <c r="O36" s="197" t="str">
        <f>IFERROR(INDEX('FB 콘텐츠 data'!$A$1:$AH$25,MATCH('FB 신규발행'!$A36,'FB 콘텐츠 data'!$AR:$AR,0),MATCH(O$2,'FB 콘텐츠 data'!$A$1:$AH$1,0)),"")</f>
        <v/>
      </c>
      <c r="P36" s="197" t="str">
        <f>IFERROR(INDEX('FB 콘텐츠 data'!$A$1:$AH$25,MATCH('FB 신규발행'!$A36,'FB 콘텐츠 data'!$AR:$AR,0),MATCH(P$2,'FB 콘텐츠 data'!$A$1:$AH$1,0)),"")</f>
        <v/>
      </c>
      <c r="Q36" s="197" t="str">
        <f>IFERROR(INDEX('FB 콘텐츠 data'!$A$1:$AH$25,MATCH('FB 신규발행'!$A36,'FB 콘텐츠 data'!$AR:$AR,0),MATCH(Q$2,'FB 콘텐츠 data'!$A$1:$AH$1,0)),"")</f>
        <v/>
      </c>
      <c r="R36" s="198" t="str">
        <f t="shared" si="6"/>
        <v/>
      </c>
      <c r="T36" s="125" t="str">
        <f t="shared" si="7"/>
        <v/>
      </c>
      <c r="U36" s="125" t="str">
        <f t="shared" si="8"/>
        <v/>
      </c>
      <c r="Y36" s="157"/>
    </row>
    <row r="37" spans="1:25" ht="17.45" customHeight="1">
      <c r="A37" s="156">
        <v>35</v>
      </c>
      <c r="B37" s="195" t="str">
        <f>IFERROR(INDEX('FB 콘텐츠 data'!AQ:AQ,MATCH('FB 신규발행'!A37,'FB 콘텐츠 data'!AR:AR,0)),"")</f>
        <v/>
      </c>
      <c r="C37" s="196" t="str">
        <f>IFERROR(INDEX('FB 콘텐츠 data'!$A$1:$AH$25,MATCH('FB 신규발행'!$A37,'FB 콘텐츠 data'!$AR:$AR,0),MATCH(C$2,'FB 콘텐츠 data'!$A$1:$AH$1,0)),"")</f>
        <v/>
      </c>
      <c r="D37" s="197" t="str">
        <f>IFERROR(INDEX('FB 콘텐츠 data'!$A$1:$AH$25,MATCH('FB 신규발행'!$A37,'FB 콘텐츠 data'!$AR:$AR,0),MATCH(D$2,'FB 콘텐츠 data'!$A$1:$AH$1,0)),"")</f>
        <v/>
      </c>
      <c r="E37" s="197" t="str">
        <f>IFERROR(INDEX('FB 콘텐츠 data'!$A$1:$AH$25,MATCH('FB 신규발행'!$A37,'FB 콘텐츠 data'!$AR:$AR,0),MATCH(E$2,'FB 콘텐츠 data'!$A$1:$AH$1,0)),"")</f>
        <v/>
      </c>
      <c r="F37" s="197" t="str">
        <f>IFERROR(INDEX('FB 콘텐츠 data'!$A$1:$AH$25,MATCH('FB 신규발행'!$A37,'FB 콘텐츠 data'!$AR:$AR,0),MATCH(F$2,'FB 콘텐츠 data'!$A$1:$AH$1,0)),"")</f>
        <v/>
      </c>
      <c r="G37" s="197" t="str">
        <f>IFERROR(INDEX('FB 콘텐츠 data'!$A$1:$AH$25,MATCH('FB 신규발행'!$A37,'FB 콘텐츠 data'!$AR:$AR,0),MATCH(G$2,'FB 콘텐츠 data'!$A$1:$AH$1,0)),"")</f>
        <v/>
      </c>
      <c r="H37" s="197" t="str">
        <f t="shared" si="5"/>
        <v/>
      </c>
      <c r="I37" s="197" t="str">
        <f>IFERROR(INDEX('FB 콘텐츠 data'!$A$1:$AH$25,MATCH('FB 신규발행'!$A37,'FB 콘텐츠 data'!$AR:$AR,0),MATCH(I$2,'FB 콘텐츠 data'!$A$1:$AH$1,0)),"")</f>
        <v/>
      </c>
      <c r="J37" s="197" t="str">
        <f>IFERROR(INDEX('FB 콘텐츠 data'!$A$1:$AH$25,MATCH('FB 신규발행'!$A37,'FB 콘텐츠 data'!$AR:$AR,0),MATCH(J$2,'FB 콘텐츠 data'!$A$1:$AH$1,0)),"")</f>
        <v/>
      </c>
      <c r="K37" s="196" t="str">
        <f>IFERROR(INDEX('FB 콘텐츠 data'!$A$1:$AR$25,MATCH('FB 신규발행'!$A37,'FB 콘텐츠 data'!$AR:$AR,0),MATCH(K$2,'FB 콘텐츠 data'!$A$1:$AR$1,0)),"")</f>
        <v/>
      </c>
      <c r="L37" s="197" t="str">
        <f>IFERROR(INDEX('FB 콘텐츠 data'!$A$1:$AH$25,MATCH('FB 신규발행'!$A37,'FB 콘텐츠 data'!$AR:$AR,0),MATCH(L$2,'FB 콘텐츠 data'!$A$1:$AH$1,0)),"")</f>
        <v/>
      </c>
      <c r="M37" s="197" t="str">
        <f>IFERROR(INDEX('FB 콘텐츠 data'!$A$1:$AH$25,MATCH('FB 신규발행'!$A37,'FB 콘텐츠 data'!$AR:$AR,0),MATCH(M$2,'FB 콘텐츠 data'!$A$1:$AH$1,0)),"")</f>
        <v/>
      </c>
      <c r="N37" s="197" t="str">
        <f>IFERROR(INDEX('FB 콘텐츠 data'!$A$1:$AH$25,MATCH('FB 신규발행'!$A37,'FB 콘텐츠 data'!$AR:$AR,0),MATCH(N$2,'FB 콘텐츠 data'!$A$1:$AH$1,0)),"")</f>
        <v/>
      </c>
      <c r="O37" s="197" t="str">
        <f>IFERROR(INDEX('FB 콘텐츠 data'!$A$1:$AH$25,MATCH('FB 신규발행'!$A37,'FB 콘텐츠 data'!$AR:$AR,0),MATCH(O$2,'FB 콘텐츠 data'!$A$1:$AH$1,0)),"")</f>
        <v/>
      </c>
      <c r="P37" s="197" t="str">
        <f>IFERROR(INDEX('FB 콘텐츠 data'!$A$1:$AH$25,MATCH('FB 신규발행'!$A37,'FB 콘텐츠 data'!$AR:$AR,0),MATCH(P$2,'FB 콘텐츠 data'!$A$1:$AH$1,0)),"")</f>
        <v/>
      </c>
      <c r="Q37" s="197" t="str">
        <f>IFERROR(INDEX('FB 콘텐츠 data'!$A$1:$AH$25,MATCH('FB 신규발행'!$A37,'FB 콘텐츠 data'!$AR:$AR,0),MATCH(Q$2,'FB 콘텐츠 data'!$A$1:$AH$1,0)),"")</f>
        <v/>
      </c>
      <c r="R37" s="198" t="str">
        <f t="shared" si="6"/>
        <v/>
      </c>
      <c r="T37" s="125" t="str">
        <f t="shared" si="7"/>
        <v/>
      </c>
      <c r="U37" s="125" t="str">
        <f t="shared" si="8"/>
        <v/>
      </c>
      <c r="Y37" s="157"/>
    </row>
    <row r="38" spans="1:25" ht="17.45" customHeight="1">
      <c r="A38" s="156">
        <v>36</v>
      </c>
      <c r="B38" s="195" t="str">
        <f>IFERROR(INDEX('FB 콘텐츠 data'!AQ:AQ,MATCH('FB 신규발행'!A38,'FB 콘텐츠 data'!AR:AR,0)),"")</f>
        <v/>
      </c>
      <c r="C38" s="196" t="str">
        <f>IFERROR(INDEX('FB 콘텐츠 data'!$A$1:$AH$25,MATCH('FB 신규발행'!$A38,'FB 콘텐츠 data'!$AR:$AR,0),MATCH(C$2,'FB 콘텐츠 data'!$A$1:$AH$1,0)),"")</f>
        <v/>
      </c>
      <c r="D38" s="197" t="str">
        <f>IFERROR(INDEX('FB 콘텐츠 data'!$A$1:$AH$25,MATCH('FB 신규발행'!$A38,'FB 콘텐츠 data'!$AR:$AR,0),MATCH(D$2,'FB 콘텐츠 data'!$A$1:$AH$1,0)),"")</f>
        <v/>
      </c>
      <c r="E38" s="197" t="str">
        <f>IFERROR(INDEX('FB 콘텐츠 data'!$A$1:$AH$25,MATCH('FB 신규발행'!$A38,'FB 콘텐츠 data'!$AR:$AR,0),MATCH(E$2,'FB 콘텐츠 data'!$A$1:$AH$1,0)),"")</f>
        <v/>
      </c>
      <c r="F38" s="197" t="str">
        <f>IFERROR(INDEX('FB 콘텐츠 data'!$A$1:$AH$25,MATCH('FB 신규발행'!$A38,'FB 콘텐츠 data'!$AR:$AR,0),MATCH(F$2,'FB 콘텐츠 data'!$A$1:$AH$1,0)),"")</f>
        <v/>
      </c>
      <c r="G38" s="197" t="str">
        <f>IFERROR(INDEX('FB 콘텐츠 data'!$A$1:$AH$25,MATCH('FB 신규발행'!$A38,'FB 콘텐츠 data'!$AR:$AR,0),MATCH(G$2,'FB 콘텐츠 data'!$A$1:$AH$1,0)),"")</f>
        <v/>
      </c>
      <c r="H38" s="197" t="str">
        <f t="shared" si="5"/>
        <v/>
      </c>
      <c r="I38" s="197" t="str">
        <f>IFERROR(INDEX('FB 콘텐츠 data'!$A$1:$AH$25,MATCH('FB 신규발행'!$A38,'FB 콘텐츠 data'!$AR:$AR,0),MATCH(I$2,'FB 콘텐츠 data'!$A$1:$AH$1,0)),"")</f>
        <v/>
      </c>
      <c r="J38" s="197" t="str">
        <f>IFERROR(INDEX('FB 콘텐츠 data'!$A$1:$AH$25,MATCH('FB 신규발행'!$A38,'FB 콘텐츠 data'!$AR:$AR,0),MATCH(J$2,'FB 콘텐츠 data'!$A$1:$AH$1,0)),"")</f>
        <v/>
      </c>
      <c r="K38" s="196" t="str">
        <f>IFERROR(INDEX('FB 콘텐츠 data'!$A$1:$AR$25,MATCH('FB 신규발행'!$A38,'FB 콘텐츠 data'!$AR:$AR,0),MATCH(K$2,'FB 콘텐츠 data'!$A$1:$AR$1,0)),"")</f>
        <v/>
      </c>
      <c r="L38" s="197" t="str">
        <f>IFERROR(INDEX('FB 콘텐츠 data'!$A$1:$AH$25,MATCH('FB 신규발행'!$A38,'FB 콘텐츠 data'!$AR:$AR,0),MATCH(L$2,'FB 콘텐츠 data'!$A$1:$AH$1,0)),"")</f>
        <v/>
      </c>
      <c r="M38" s="197" t="str">
        <f>IFERROR(INDEX('FB 콘텐츠 data'!$A$1:$AH$25,MATCH('FB 신규발행'!$A38,'FB 콘텐츠 data'!$AR:$AR,0),MATCH(M$2,'FB 콘텐츠 data'!$A$1:$AH$1,0)),"")</f>
        <v/>
      </c>
      <c r="N38" s="197" t="str">
        <f>IFERROR(INDEX('FB 콘텐츠 data'!$A$1:$AH$25,MATCH('FB 신규발행'!$A38,'FB 콘텐츠 data'!$AR:$AR,0),MATCH(N$2,'FB 콘텐츠 data'!$A$1:$AH$1,0)),"")</f>
        <v/>
      </c>
      <c r="O38" s="197" t="str">
        <f>IFERROR(INDEX('FB 콘텐츠 data'!$A$1:$AH$25,MATCH('FB 신규발행'!$A38,'FB 콘텐츠 data'!$AR:$AR,0),MATCH(O$2,'FB 콘텐츠 data'!$A$1:$AH$1,0)),"")</f>
        <v/>
      </c>
      <c r="P38" s="197" t="str">
        <f>IFERROR(INDEX('FB 콘텐츠 data'!$A$1:$AH$25,MATCH('FB 신규발행'!$A38,'FB 콘텐츠 data'!$AR:$AR,0),MATCH(P$2,'FB 콘텐츠 data'!$A$1:$AH$1,0)),"")</f>
        <v/>
      </c>
      <c r="Q38" s="197" t="str">
        <f>IFERROR(INDEX('FB 콘텐츠 data'!$A$1:$AH$25,MATCH('FB 신규발행'!$A38,'FB 콘텐츠 data'!$AR:$AR,0),MATCH(Q$2,'FB 콘텐츠 data'!$A$1:$AH$1,0)),"")</f>
        <v/>
      </c>
      <c r="R38" s="198" t="str">
        <f t="shared" si="6"/>
        <v/>
      </c>
      <c r="T38" s="125" t="str">
        <f t="shared" si="7"/>
        <v/>
      </c>
      <c r="U38" s="125" t="str">
        <f t="shared" si="8"/>
        <v/>
      </c>
      <c r="Y38" s="157"/>
    </row>
    <row r="39" spans="1:25" ht="17.45" customHeight="1">
      <c r="A39" s="156">
        <v>37</v>
      </c>
      <c r="B39" s="195" t="str">
        <f>IFERROR(INDEX('FB 콘텐츠 data'!AQ:AQ,MATCH('FB 신규발행'!A39,'FB 콘텐츠 data'!AR:AR,0)),"")</f>
        <v/>
      </c>
      <c r="C39" s="196" t="str">
        <f>IFERROR(INDEX('FB 콘텐츠 data'!$A$1:$AH$25,MATCH('FB 신규발행'!$A39,'FB 콘텐츠 data'!$AR:$AR,0),MATCH(C$2,'FB 콘텐츠 data'!$A$1:$AH$1,0)),"")</f>
        <v/>
      </c>
      <c r="D39" s="197" t="str">
        <f>IFERROR(INDEX('FB 콘텐츠 data'!$A$1:$AH$25,MATCH('FB 신규발행'!$A39,'FB 콘텐츠 data'!$AR:$AR,0),MATCH(D$2,'FB 콘텐츠 data'!$A$1:$AH$1,0)),"")</f>
        <v/>
      </c>
      <c r="E39" s="197" t="str">
        <f>IFERROR(INDEX('FB 콘텐츠 data'!$A$1:$AH$25,MATCH('FB 신규발행'!$A39,'FB 콘텐츠 data'!$AR:$AR,0),MATCH(E$2,'FB 콘텐츠 data'!$A$1:$AH$1,0)),"")</f>
        <v/>
      </c>
      <c r="F39" s="197" t="str">
        <f>IFERROR(INDEX('FB 콘텐츠 data'!$A$1:$AH$25,MATCH('FB 신규발행'!$A39,'FB 콘텐츠 data'!$AR:$AR,0),MATCH(F$2,'FB 콘텐츠 data'!$A$1:$AH$1,0)),"")</f>
        <v/>
      </c>
      <c r="G39" s="197" t="str">
        <f>IFERROR(INDEX('FB 콘텐츠 data'!$A$1:$AH$25,MATCH('FB 신규발행'!$A39,'FB 콘텐츠 data'!$AR:$AR,0),MATCH(G$2,'FB 콘텐츠 data'!$A$1:$AH$1,0)),"")</f>
        <v/>
      </c>
      <c r="H39" s="197" t="str">
        <f t="shared" si="5"/>
        <v/>
      </c>
      <c r="I39" s="197" t="str">
        <f>IFERROR(INDEX('FB 콘텐츠 data'!$A$1:$AH$25,MATCH('FB 신규발행'!$A39,'FB 콘텐츠 data'!$AR:$AR,0),MATCH(I$2,'FB 콘텐츠 data'!$A$1:$AH$1,0)),"")</f>
        <v/>
      </c>
      <c r="J39" s="197" t="str">
        <f>IFERROR(INDEX('FB 콘텐츠 data'!$A$1:$AH$25,MATCH('FB 신규발행'!$A39,'FB 콘텐츠 data'!$AR:$AR,0),MATCH(J$2,'FB 콘텐츠 data'!$A$1:$AH$1,0)),"")</f>
        <v/>
      </c>
      <c r="K39" s="196" t="str">
        <f>IFERROR(INDEX('FB 콘텐츠 data'!$A$1:$AR$25,MATCH('FB 신규발행'!$A39,'FB 콘텐츠 data'!$AR:$AR,0),MATCH(K$2,'FB 콘텐츠 data'!$A$1:$AR$1,0)),"")</f>
        <v/>
      </c>
      <c r="L39" s="197" t="str">
        <f>IFERROR(INDEX('FB 콘텐츠 data'!$A$1:$AH$25,MATCH('FB 신규발행'!$A39,'FB 콘텐츠 data'!$AR:$AR,0),MATCH(L$2,'FB 콘텐츠 data'!$A$1:$AH$1,0)),"")</f>
        <v/>
      </c>
      <c r="M39" s="197" t="str">
        <f>IFERROR(INDEX('FB 콘텐츠 data'!$A$1:$AH$25,MATCH('FB 신규발행'!$A39,'FB 콘텐츠 data'!$AR:$AR,0),MATCH(M$2,'FB 콘텐츠 data'!$A$1:$AH$1,0)),"")</f>
        <v/>
      </c>
      <c r="N39" s="197" t="str">
        <f>IFERROR(INDEX('FB 콘텐츠 data'!$A$1:$AH$25,MATCH('FB 신규발행'!$A39,'FB 콘텐츠 data'!$AR:$AR,0),MATCH(N$2,'FB 콘텐츠 data'!$A$1:$AH$1,0)),"")</f>
        <v/>
      </c>
      <c r="O39" s="197" t="str">
        <f>IFERROR(INDEX('FB 콘텐츠 data'!$A$1:$AH$25,MATCH('FB 신규발행'!$A39,'FB 콘텐츠 data'!$AR:$AR,0),MATCH(O$2,'FB 콘텐츠 data'!$A$1:$AH$1,0)),"")</f>
        <v/>
      </c>
      <c r="P39" s="197" t="str">
        <f>IFERROR(INDEX('FB 콘텐츠 data'!$A$1:$AH$25,MATCH('FB 신규발행'!$A39,'FB 콘텐츠 data'!$AR:$AR,0),MATCH(P$2,'FB 콘텐츠 data'!$A$1:$AH$1,0)),"")</f>
        <v/>
      </c>
      <c r="Q39" s="197" t="str">
        <f>IFERROR(INDEX('FB 콘텐츠 data'!$A$1:$AH$25,MATCH('FB 신규발행'!$A39,'FB 콘텐츠 data'!$AR:$AR,0),MATCH(Q$2,'FB 콘텐츠 data'!$A$1:$AH$1,0)),"")</f>
        <v/>
      </c>
      <c r="R39" s="198" t="str">
        <f t="shared" si="6"/>
        <v/>
      </c>
      <c r="T39" s="125" t="str">
        <f t="shared" si="7"/>
        <v/>
      </c>
      <c r="U39" s="125" t="str">
        <f t="shared" si="8"/>
        <v/>
      </c>
      <c r="Y39" s="157"/>
    </row>
    <row r="40" spans="1:25" ht="17.45" customHeight="1">
      <c r="A40" s="156">
        <v>38</v>
      </c>
      <c r="B40" s="195" t="str">
        <f>IFERROR(INDEX('FB 콘텐츠 data'!AQ:AQ,MATCH('FB 신규발행'!A40,'FB 콘텐츠 data'!AR:AR,0)),"")</f>
        <v/>
      </c>
      <c r="C40" s="196" t="str">
        <f>IFERROR(INDEX('FB 콘텐츠 data'!$A$1:$AH$25,MATCH('FB 신규발행'!$A40,'FB 콘텐츠 data'!$AR:$AR,0),MATCH(C$2,'FB 콘텐츠 data'!$A$1:$AH$1,0)),"")</f>
        <v/>
      </c>
      <c r="D40" s="197" t="str">
        <f>IFERROR(INDEX('FB 콘텐츠 data'!$A$1:$AH$25,MATCH('FB 신규발행'!$A40,'FB 콘텐츠 data'!$AR:$AR,0),MATCH(D$2,'FB 콘텐츠 data'!$A$1:$AH$1,0)),"")</f>
        <v/>
      </c>
      <c r="E40" s="197" t="str">
        <f>IFERROR(INDEX('FB 콘텐츠 data'!$A$1:$AH$25,MATCH('FB 신규발행'!$A40,'FB 콘텐츠 data'!$AR:$AR,0),MATCH(E$2,'FB 콘텐츠 data'!$A$1:$AH$1,0)),"")</f>
        <v/>
      </c>
      <c r="F40" s="197" t="str">
        <f>IFERROR(INDEX('FB 콘텐츠 data'!$A$1:$AH$25,MATCH('FB 신규발행'!$A40,'FB 콘텐츠 data'!$AR:$AR,0),MATCH(F$2,'FB 콘텐츠 data'!$A$1:$AH$1,0)),"")</f>
        <v/>
      </c>
      <c r="G40" s="197" t="str">
        <f>IFERROR(INDEX('FB 콘텐츠 data'!$A$1:$AH$25,MATCH('FB 신규발행'!$A40,'FB 콘텐츠 data'!$AR:$AR,0),MATCH(G$2,'FB 콘텐츠 data'!$A$1:$AH$1,0)),"")</f>
        <v/>
      </c>
      <c r="H40" s="197" t="str">
        <f t="shared" si="5"/>
        <v/>
      </c>
      <c r="I40" s="197" t="str">
        <f>IFERROR(INDEX('FB 콘텐츠 data'!$A$1:$AH$25,MATCH('FB 신규발행'!$A40,'FB 콘텐츠 data'!$AR:$AR,0),MATCH(I$2,'FB 콘텐츠 data'!$A$1:$AH$1,0)),"")</f>
        <v/>
      </c>
      <c r="J40" s="197" t="str">
        <f>IFERROR(INDEX('FB 콘텐츠 data'!$A$1:$AH$25,MATCH('FB 신규발행'!$A40,'FB 콘텐츠 data'!$AR:$AR,0),MATCH(J$2,'FB 콘텐츠 data'!$A$1:$AH$1,0)),"")</f>
        <v/>
      </c>
      <c r="K40" s="196" t="str">
        <f>IFERROR(INDEX('FB 콘텐츠 data'!$A$1:$AR$25,MATCH('FB 신규발행'!$A40,'FB 콘텐츠 data'!$AR:$AR,0),MATCH(K$2,'FB 콘텐츠 data'!$A$1:$AR$1,0)),"")</f>
        <v/>
      </c>
      <c r="L40" s="197" t="str">
        <f>IFERROR(INDEX('FB 콘텐츠 data'!$A$1:$AH$25,MATCH('FB 신규발행'!$A40,'FB 콘텐츠 data'!$AR:$AR,0),MATCH(L$2,'FB 콘텐츠 data'!$A$1:$AH$1,0)),"")</f>
        <v/>
      </c>
      <c r="M40" s="197" t="str">
        <f>IFERROR(INDEX('FB 콘텐츠 data'!$A$1:$AH$25,MATCH('FB 신규발행'!$A40,'FB 콘텐츠 data'!$AR:$AR,0),MATCH(M$2,'FB 콘텐츠 data'!$A$1:$AH$1,0)),"")</f>
        <v/>
      </c>
      <c r="N40" s="197" t="str">
        <f>IFERROR(INDEX('FB 콘텐츠 data'!$A$1:$AH$25,MATCH('FB 신규발행'!$A40,'FB 콘텐츠 data'!$AR:$AR,0),MATCH(N$2,'FB 콘텐츠 data'!$A$1:$AH$1,0)),"")</f>
        <v/>
      </c>
      <c r="O40" s="197" t="str">
        <f>IFERROR(INDEX('FB 콘텐츠 data'!$A$1:$AH$25,MATCH('FB 신규발행'!$A40,'FB 콘텐츠 data'!$AR:$AR,0),MATCH(O$2,'FB 콘텐츠 data'!$A$1:$AH$1,0)),"")</f>
        <v/>
      </c>
      <c r="P40" s="197" t="str">
        <f>IFERROR(INDEX('FB 콘텐츠 data'!$A$1:$AH$25,MATCH('FB 신규발행'!$A40,'FB 콘텐츠 data'!$AR:$AR,0),MATCH(P$2,'FB 콘텐츠 data'!$A$1:$AH$1,0)),"")</f>
        <v/>
      </c>
      <c r="Q40" s="197" t="str">
        <f>IFERROR(INDEX('FB 콘텐츠 data'!$A$1:$AH$25,MATCH('FB 신규발행'!$A40,'FB 콘텐츠 data'!$AR:$AR,0),MATCH(Q$2,'FB 콘텐츠 data'!$A$1:$AH$1,0)),"")</f>
        <v/>
      </c>
      <c r="R40" s="198" t="str">
        <f t="shared" si="6"/>
        <v/>
      </c>
      <c r="T40" s="125" t="str">
        <f t="shared" si="7"/>
        <v/>
      </c>
      <c r="U40" s="125" t="str">
        <f t="shared" si="8"/>
        <v/>
      </c>
      <c r="Y40" s="157"/>
    </row>
    <row r="41" spans="1:25" ht="17.45" customHeight="1">
      <c r="A41" s="156">
        <v>39</v>
      </c>
      <c r="B41" s="195" t="str">
        <f>IFERROR(INDEX('FB 콘텐츠 data'!AQ:AQ,MATCH('FB 신규발행'!A41,'FB 콘텐츠 data'!AR:AR,0)),"")</f>
        <v/>
      </c>
      <c r="C41" s="196" t="str">
        <f>IFERROR(INDEX('FB 콘텐츠 data'!$A$1:$AH$25,MATCH('FB 신규발행'!$A41,'FB 콘텐츠 data'!$AR:$AR,0),MATCH(C$2,'FB 콘텐츠 data'!$A$1:$AH$1,0)),"")</f>
        <v/>
      </c>
      <c r="D41" s="197" t="str">
        <f>IFERROR(INDEX('FB 콘텐츠 data'!$A$1:$AH$25,MATCH('FB 신규발행'!$A41,'FB 콘텐츠 data'!$AR:$AR,0),MATCH(D$2,'FB 콘텐츠 data'!$A$1:$AH$1,0)),"")</f>
        <v/>
      </c>
      <c r="E41" s="197" t="str">
        <f>IFERROR(INDEX('FB 콘텐츠 data'!$A$1:$AH$25,MATCH('FB 신규발행'!$A41,'FB 콘텐츠 data'!$AR:$AR,0),MATCH(E$2,'FB 콘텐츠 data'!$A$1:$AH$1,0)),"")</f>
        <v/>
      </c>
      <c r="F41" s="197" t="str">
        <f>IFERROR(INDEX('FB 콘텐츠 data'!$A$1:$AH$25,MATCH('FB 신규발행'!$A41,'FB 콘텐츠 data'!$AR:$AR,0),MATCH(F$2,'FB 콘텐츠 data'!$A$1:$AH$1,0)),"")</f>
        <v/>
      </c>
      <c r="G41" s="197" t="str">
        <f>IFERROR(INDEX('FB 콘텐츠 data'!$A$1:$AH$25,MATCH('FB 신규발행'!$A41,'FB 콘텐츠 data'!$AR:$AR,0),MATCH(G$2,'FB 콘텐츠 data'!$A$1:$AH$1,0)),"")</f>
        <v/>
      </c>
      <c r="H41" s="197" t="str">
        <f t="shared" si="5"/>
        <v/>
      </c>
      <c r="I41" s="197" t="str">
        <f>IFERROR(INDEX('FB 콘텐츠 data'!$A$1:$AH$25,MATCH('FB 신규발행'!$A41,'FB 콘텐츠 data'!$AR:$AR,0),MATCH(I$2,'FB 콘텐츠 data'!$A$1:$AH$1,0)),"")</f>
        <v/>
      </c>
      <c r="J41" s="197" t="str">
        <f>IFERROR(INDEX('FB 콘텐츠 data'!$A$1:$AH$25,MATCH('FB 신규발행'!$A41,'FB 콘텐츠 data'!$AR:$AR,0),MATCH(J$2,'FB 콘텐츠 data'!$A$1:$AH$1,0)),"")</f>
        <v/>
      </c>
      <c r="K41" s="196" t="str">
        <f>IFERROR(INDEX('FB 콘텐츠 data'!$A$1:$AR$25,MATCH('FB 신규발행'!$A41,'FB 콘텐츠 data'!$AR:$AR,0),MATCH(K$2,'FB 콘텐츠 data'!$A$1:$AR$1,0)),"")</f>
        <v/>
      </c>
      <c r="L41" s="197" t="str">
        <f>IFERROR(INDEX('FB 콘텐츠 data'!$A$1:$AH$25,MATCH('FB 신규발행'!$A41,'FB 콘텐츠 data'!$AR:$AR,0),MATCH(L$2,'FB 콘텐츠 data'!$A$1:$AH$1,0)),"")</f>
        <v/>
      </c>
      <c r="M41" s="197" t="str">
        <f>IFERROR(INDEX('FB 콘텐츠 data'!$A$1:$AH$25,MATCH('FB 신규발행'!$A41,'FB 콘텐츠 data'!$AR:$AR,0),MATCH(M$2,'FB 콘텐츠 data'!$A$1:$AH$1,0)),"")</f>
        <v/>
      </c>
      <c r="N41" s="197" t="str">
        <f>IFERROR(INDEX('FB 콘텐츠 data'!$A$1:$AH$25,MATCH('FB 신규발행'!$A41,'FB 콘텐츠 data'!$AR:$AR,0),MATCH(N$2,'FB 콘텐츠 data'!$A$1:$AH$1,0)),"")</f>
        <v/>
      </c>
      <c r="O41" s="197" t="str">
        <f>IFERROR(INDEX('FB 콘텐츠 data'!$A$1:$AH$25,MATCH('FB 신규발행'!$A41,'FB 콘텐츠 data'!$AR:$AR,0),MATCH(O$2,'FB 콘텐츠 data'!$A$1:$AH$1,0)),"")</f>
        <v/>
      </c>
      <c r="P41" s="197" t="str">
        <f>IFERROR(INDEX('FB 콘텐츠 data'!$A$1:$AH$25,MATCH('FB 신규발행'!$A41,'FB 콘텐츠 data'!$AR:$AR,0),MATCH(P$2,'FB 콘텐츠 data'!$A$1:$AH$1,0)),"")</f>
        <v/>
      </c>
      <c r="Q41" s="197" t="str">
        <f>IFERROR(INDEX('FB 콘텐츠 data'!$A$1:$AH$25,MATCH('FB 신규발행'!$A41,'FB 콘텐츠 data'!$AR:$AR,0),MATCH(Q$2,'FB 콘텐츠 data'!$A$1:$AH$1,0)),"")</f>
        <v/>
      </c>
      <c r="R41" s="198" t="str">
        <f t="shared" si="6"/>
        <v/>
      </c>
      <c r="T41" s="125" t="str">
        <f t="shared" si="7"/>
        <v/>
      </c>
      <c r="U41" s="125" t="str">
        <f t="shared" si="8"/>
        <v/>
      </c>
      <c r="Y41" s="157"/>
    </row>
    <row r="42" spans="1:25" ht="17.45" customHeight="1">
      <c r="A42" s="156">
        <v>40</v>
      </c>
      <c r="B42" s="195" t="str">
        <f>IFERROR(INDEX('FB 콘텐츠 data'!AQ:AQ,MATCH('FB 신규발행'!A42,'FB 콘텐츠 data'!AR:AR,0)),"")</f>
        <v/>
      </c>
      <c r="C42" s="196" t="str">
        <f>IFERROR(INDEX('FB 콘텐츠 data'!$A$1:$AH$25,MATCH('FB 신규발행'!$A42,'FB 콘텐츠 data'!$AR:$AR,0),MATCH(C$2,'FB 콘텐츠 data'!$A$1:$AH$1,0)),"")</f>
        <v/>
      </c>
      <c r="D42" s="197" t="str">
        <f>IFERROR(INDEX('FB 콘텐츠 data'!$A$1:$AH$25,MATCH('FB 신규발행'!$A42,'FB 콘텐츠 data'!$AR:$AR,0),MATCH(D$2,'FB 콘텐츠 data'!$A$1:$AH$1,0)),"")</f>
        <v/>
      </c>
      <c r="E42" s="197" t="str">
        <f>IFERROR(INDEX('FB 콘텐츠 data'!$A$1:$AH$25,MATCH('FB 신규발행'!$A42,'FB 콘텐츠 data'!$AR:$AR,0),MATCH(E$2,'FB 콘텐츠 data'!$A$1:$AH$1,0)),"")</f>
        <v/>
      </c>
      <c r="F42" s="197" t="str">
        <f>IFERROR(INDEX('FB 콘텐츠 data'!$A$1:$AH$25,MATCH('FB 신규발행'!$A42,'FB 콘텐츠 data'!$AR:$AR,0),MATCH(F$2,'FB 콘텐츠 data'!$A$1:$AH$1,0)),"")</f>
        <v/>
      </c>
      <c r="G42" s="197" t="str">
        <f>IFERROR(INDEX('FB 콘텐츠 data'!$A$1:$AH$25,MATCH('FB 신규발행'!$A42,'FB 콘텐츠 data'!$AR:$AR,0),MATCH(G$2,'FB 콘텐츠 data'!$A$1:$AH$1,0)),"")</f>
        <v/>
      </c>
      <c r="H42" s="197" t="str">
        <f t="shared" si="5"/>
        <v/>
      </c>
      <c r="I42" s="197" t="str">
        <f>IFERROR(INDEX('FB 콘텐츠 data'!$A$1:$AH$25,MATCH('FB 신규발행'!$A42,'FB 콘텐츠 data'!$AR:$AR,0),MATCH(I$2,'FB 콘텐츠 data'!$A$1:$AH$1,0)),"")</f>
        <v/>
      </c>
      <c r="J42" s="197" t="str">
        <f>IFERROR(INDEX('FB 콘텐츠 data'!$A$1:$AH$25,MATCH('FB 신규발행'!$A42,'FB 콘텐츠 data'!$AR:$AR,0),MATCH(J$2,'FB 콘텐츠 data'!$A$1:$AH$1,0)),"")</f>
        <v/>
      </c>
      <c r="K42" s="196" t="str">
        <f>IFERROR(INDEX('FB 콘텐츠 data'!$A$1:$AR$25,MATCH('FB 신규발행'!$A42,'FB 콘텐츠 data'!$AR:$AR,0),MATCH(K$2,'FB 콘텐츠 data'!$A$1:$AR$1,0)),"")</f>
        <v/>
      </c>
      <c r="L42" s="197" t="str">
        <f>IFERROR(INDEX('FB 콘텐츠 data'!$A$1:$AH$25,MATCH('FB 신규발행'!$A42,'FB 콘텐츠 data'!$AR:$AR,0),MATCH(L$2,'FB 콘텐츠 data'!$A$1:$AH$1,0)),"")</f>
        <v/>
      </c>
      <c r="M42" s="197" t="str">
        <f>IFERROR(INDEX('FB 콘텐츠 data'!$A$1:$AH$25,MATCH('FB 신규발행'!$A42,'FB 콘텐츠 data'!$AR:$AR,0),MATCH(M$2,'FB 콘텐츠 data'!$A$1:$AH$1,0)),"")</f>
        <v/>
      </c>
      <c r="N42" s="197" t="str">
        <f>IFERROR(INDEX('FB 콘텐츠 data'!$A$1:$AH$25,MATCH('FB 신규발행'!$A42,'FB 콘텐츠 data'!$AR:$AR,0),MATCH(N$2,'FB 콘텐츠 data'!$A$1:$AH$1,0)),"")</f>
        <v/>
      </c>
      <c r="O42" s="197" t="str">
        <f>IFERROR(INDEX('FB 콘텐츠 data'!$A$1:$AH$25,MATCH('FB 신규발행'!$A42,'FB 콘텐츠 data'!$AR:$AR,0),MATCH(O$2,'FB 콘텐츠 data'!$A$1:$AH$1,0)),"")</f>
        <v/>
      </c>
      <c r="P42" s="197" t="str">
        <f>IFERROR(INDEX('FB 콘텐츠 data'!$A$1:$AH$25,MATCH('FB 신규발행'!$A42,'FB 콘텐츠 data'!$AR:$AR,0),MATCH(P$2,'FB 콘텐츠 data'!$A$1:$AH$1,0)),"")</f>
        <v/>
      </c>
      <c r="Q42" s="197" t="str">
        <f>IFERROR(INDEX('FB 콘텐츠 data'!$A$1:$AH$25,MATCH('FB 신규발행'!$A42,'FB 콘텐츠 data'!$AR:$AR,0),MATCH(Q$2,'FB 콘텐츠 data'!$A$1:$AH$1,0)),"")</f>
        <v/>
      </c>
      <c r="R42" s="198" t="str">
        <f t="shared" si="6"/>
        <v/>
      </c>
      <c r="T42" s="125" t="str">
        <f t="shared" si="7"/>
        <v/>
      </c>
      <c r="U42" s="125" t="str">
        <f t="shared" si="8"/>
        <v/>
      </c>
      <c r="Y42" s="157"/>
    </row>
    <row r="43" spans="1:25" ht="17.45" customHeight="1">
      <c r="A43" s="156">
        <v>41</v>
      </c>
      <c r="B43" s="195" t="str">
        <f>IFERROR(INDEX('FB 콘텐츠 data'!AQ:AQ,MATCH('FB 신규발행'!A43,'FB 콘텐츠 data'!AR:AR,0)),"")</f>
        <v/>
      </c>
      <c r="C43" s="196" t="str">
        <f>IFERROR(INDEX('FB 콘텐츠 data'!$A$1:$AH$25,MATCH('FB 신규발행'!$A43,'FB 콘텐츠 data'!$AR:$AR,0),MATCH(C$2,'FB 콘텐츠 data'!$A$1:$AH$1,0)),"")</f>
        <v/>
      </c>
      <c r="D43" s="197" t="str">
        <f>IFERROR(INDEX('FB 콘텐츠 data'!$A$1:$AH$25,MATCH('FB 신규발행'!$A43,'FB 콘텐츠 data'!$AR:$AR,0),MATCH(D$2,'FB 콘텐츠 data'!$A$1:$AH$1,0)),"")</f>
        <v/>
      </c>
      <c r="E43" s="197" t="str">
        <f>IFERROR(INDEX('FB 콘텐츠 data'!$A$1:$AH$25,MATCH('FB 신규발행'!$A43,'FB 콘텐츠 data'!$AR:$AR,0),MATCH(E$2,'FB 콘텐츠 data'!$A$1:$AH$1,0)),"")</f>
        <v/>
      </c>
      <c r="F43" s="197" t="str">
        <f>IFERROR(INDEX('FB 콘텐츠 data'!$A$1:$AH$25,MATCH('FB 신규발행'!$A43,'FB 콘텐츠 data'!$AR:$AR,0),MATCH(F$2,'FB 콘텐츠 data'!$A$1:$AH$1,0)),"")</f>
        <v/>
      </c>
      <c r="G43" s="197" t="str">
        <f>IFERROR(INDEX('FB 콘텐츠 data'!$A$1:$AH$25,MATCH('FB 신규발행'!$A43,'FB 콘텐츠 data'!$AR:$AR,0),MATCH(G$2,'FB 콘텐츠 data'!$A$1:$AH$1,0)),"")</f>
        <v/>
      </c>
      <c r="H43" s="197" t="str">
        <f t="shared" si="5"/>
        <v/>
      </c>
      <c r="I43" s="197" t="str">
        <f>IFERROR(INDEX('FB 콘텐츠 data'!$A$1:$AH$25,MATCH('FB 신규발행'!$A43,'FB 콘텐츠 data'!$AR:$AR,0),MATCH(I$2,'FB 콘텐츠 data'!$A$1:$AH$1,0)),"")</f>
        <v/>
      </c>
      <c r="J43" s="197" t="str">
        <f>IFERROR(INDEX('FB 콘텐츠 data'!$A$1:$AH$25,MATCH('FB 신규발행'!$A43,'FB 콘텐츠 data'!$AR:$AR,0),MATCH(J$2,'FB 콘텐츠 data'!$A$1:$AH$1,0)),"")</f>
        <v/>
      </c>
      <c r="K43" s="196" t="str">
        <f>IFERROR(INDEX('FB 콘텐츠 data'!$A$1:$AR$25,MATCH('FB 신규발행'!$A43,'FB 콘텐츠 data'!$AR:$AR,0),MATCH(K$2,'FB 콘텐츠 data'!$A$1:$AR$1,0)),"")</f>
        <v/>
      </c>
      <c r="L43" s="197" t="str">
        <f>IFERROR(INDEX('FB 콘텐츠 data'!$A$1:$AH$25,MATCH('FB 신규발행'!$A43,'FB 콘텐츠 data'!$AR:$AR,0),MATCH(L$2,'FB 콘텐츠 data'!$A$1:$AH$1,0)),"")</f>
        <v/>
      </c>
      <c r="M43" s="197" t="str">
        <f>IFERROR(INDEX('FB 콘텐츠 data'!$A$1:$AH$25,MATCH('FB 신규발행'!$A43,'FB 콘텐츠 data'!$AR:$AR,0),MATCH(M$2,'FB 콘텐츠 data'!$A$1:$AH$1,0)),"")</f>
        <v/>
      </c>
      <c r="N43" s="197" t="str">
        <f>IFERROR(INDEX('FB 콘텐츠 data'!$A$1:$AH$25,MATCH('FB 신규발행'!$A43,'FB 콘텐츠 data'!$AR:$AR,0),MATCH(N$2,'FB 콘텐츠 data'!$A$1:$AH$1,0)),"")</f>
        <v/>
      </c>
      <c r="O43" s="197" t="str">
        <f>IFERROR(INDEX('FB 콘텐츠 data'!$A$1:$AH$25,MATCH('FB 신규발행'!$A43,'FB 콘텐츠 data'!$AR:$AR,0),MATCH(O$2,'FB 콘텐츠 data'!$A$1:$AH$1,0)),"")</f>
        <v/>
      </c>
      <c r="P43" s="197" t="str">
        <f>IFERROR(INDEX('FB 콘텐츠 data'!$A$1:$AH$25,MATCH('FB 신규발행'!$A43,'FB 콘텐츠 data'!$AR:$AR,0),MATCH(P$2,'FB 콘텐츠 data'!$A$1:$AH$1,0)),"")</f>
        <v/>
      </c>
      <c r="Q43" s="197" t="str">
        <f>IFERROR(INDEX('FB 콘텐츠 data'!$A$1:$AH$25,MATCH('FB 신규발행'!$A43,'FB 콘텐츠 data'!$AR:$AR,0),MATCH(Q$2,'FB 콘텐츠 data'!$A$1:$AH$1,0)),"")</f>
        <v/>
      </c>
      <c r="R43" s="198" t="str">
        <f t="shared" si="6"/>
        <v/>
      </c>
      <c r="T43" s="125" t="str">
        <f t="shared" si="7"/>
        <v/>
      </c>
      <c r="U43" s="125" t="str">
        <f t="shared" si="8"/>
        <v/>
      </c>
      <c r="Y43" s="157"/>
    </row>
    <row r="44" spans="1:25" ht="17.45" customHeight="1">
      <c r="A44" s="156">
        <v>42</v>
      </c>
      <c r="B44" s="195" t="str">
        <f>IFERROR(INDEX('FB 콘텐츠 data'!AQ:AQ,MATCH('FB 신규발행'!A44,'FB 콘텐츠 data'!AR:AR,0)),"")</f>
        <v/>
      </c>
      <c r="C44" s="196" t="str">
        <f>IFERROR(INDEX('FB 콘텐츠 data'!$A$1:$AH$25,MATCH('FB 신규발행'!$A44,'FB 콘텐츠 data'!$AR:$AR,0),MATCH(C$2,'FB 콘텐츠 data'!$A$1:$AH$1,0)),"")</f>
        <v/>
      </c>
      <c r="D44" s="197" t="str">
        <f>IFERROR(INDEX('FB 콘텐츠 data'!$A$1:$AH$25,MATCH('FB 신규발행'!$A44,'FB 콘텐츠 data'!$AR:$AR,0),MATCH(D$2,'FB 콘텐츠 data'!$A$1:$AH$1,0)),"")</f>
        <v/>
      </c>
      <c r="E44" s="197" t="str">
        <f>IFERROR(INDEX('FB 콘텐츠 data'!$A$1:$AH$25,MATCH('FB 신규발행'!$A44,'FB 콘텐츠 data'!$AR:$AR,0),MATCH(E$2,'FB 콘텐츠 data'!$A$1:$AH$1,0)),"")</f>
        <v/>
      </c>
      <c r="F44" s="197" t="str">
        <f>IFERROR(INDEX('FB 콘텐츠 data'!$A$1:$AH$25,MATCH('FB 신규발행'!$A44,'FB 콘텐츠 data'!$AR:$AR,0),MATCH(F$2,'FB 콘텐츠 data'!$A$1:$AH$1,0)),"")</f>
        <v/>
      </c>
      <c r="G44" s="197" t="str">
        <f>IFERROR(INDEX('FB 콘텐츠 data'!$A$1:$AH$25,MATCH('FB 신규발행'!$A44,'FB 콘텐츠 data'!$AR:$AR,0),MATCH(G$2,'FB 콘텐츠 data'!$A$1:$AH$1,0)),"")</f>
        <v/>
      </c>
      <c r="H44" s="197" t="str">
        <f t="shared" si="5"/>
        <v/>
      </c>
      <c r="I44" s="197" t="str">
        <f>IFERROR(INDEX('FB 콘텐츠 data'!$A$1:$AH$25,MATCH('FB 신규발행'!$A44,'FB 콘텐츠 data'!$AR:$AR,0),MATCH(I$2,'FB 콘텐츠 data'!$A$1:$AH$1,0)),"")</f>
        <v/>
      </c>
      <c r="J44" s="197" t="str">
        <f>IFERROR(INDEX('FB 콘텐츠 data'!$A$1:$AH$25,MATCH('FB 신규발행'!$A44,'FB 콘텐츠 data'!$AR:$AR,0),MATCH(J$2,'FB 콘텐츠 data'!$A$1:$AH$1,0)),"")</f>
        <v/>
      </c>
      <c r="K44" s="196" t="str">
        <f>IFERROR(INDEX('FB 콘텐츠 data'!$A$1:$AR$25,MATCH('FB 신규발행'!$A44,'FB 콘텐츠 data'!$AR:$AR,0),MATCH(K$2,'FB 콘텐츠 data'!$A$1:$AR$1,0)),"")</f>
        <v/>
      </c>
      <c r="L44" s="197" t="str">
        <f>IFERROR(INDEX('FB 콘텐츠 data'!$A$1:$AH$25,MATCH('FB 신규발행'!$A44,'FB 콘텐츠 data'!$AR:$AR,0),MATCH(L$2,'FB 콘텐츠 data'!$A$1:$AH$1,0)),"")</f>
        <v/>
      </c>
      <c r="M44" s="197" t="str">
        <f>IFERROR(INDEX('FB 콘텐츠 data'!$A$1:$AH$25,MATCH('FB 신규발행'!$A44,'FB 콘텐츠 data'!$AR:$AR,0),MATCH(M$2,'FB 콘텐츠 data'!$A$1:$AH$1,0)),"")</f>
        <v/>
      </c>
      <c r="N44" s="197" t="str">
        <f>IFERROR(INDEX('FB 콘텐츠 data'!$A$1:$AH$25,MATCH('FB 신규발행'!$A44,'FB 콘텐츠 data'!$AR:$AR,0),MATCH(N$2,'FB 콘텐츠 data'!$A$1:$AH$1,0)),"")</f>
        <v/>
      </c>
      <c r="O44" s="197" t="str">
        <f>IFERROR(INDEX('FB 콘텐츠 data'!$A$1:$AH$25,MATCH('FB 신규발행'!$A44,'FB 콘텐츠 data'!$AR:$AR,0),MATCH(O$2,'FB 콘텐츠 data'!$A$1:$AH$1,0)),"")</f>
        <v/>
      </c>
      <c r="P44" s="197" t="str">
        <f>IFERROR(INDEX('FB 콘텐츠 data'!$A$1:$AH$25,MATCH('FB 신규발행'!$A44,'FB 콘텐츠 data'!$AR:$AR,0),MATCH(P$2,'FB 콘텐츠 data'!$A$1:$AH$1,0)),"")</f>
        <v/>
      </c>
      <c r="Q44" s="197" t="str">
        <f>IFERROR(INDEX('FB 콘텐츠 data'!$A$1:$AH$25,MATCH('FB 신규발행'!$A44,'FB 콘텐츠 data'!$AR:$AR,0),MATCH(Q$2,'FB 콘텐츠 data'!$A$1:$AH$1,0)),"")</f>
        <v/>
      </c>
      <c r="R44" s="198" t="str">
        <f t="shared" si="6"/>
        <v/>
      </c>
      <c r="T44" s="125" t="str">
        <f t="shared" si="7"/>
        <v/>
      </c>
      <c r="U44" s="125" t="str">
        <f t="shared" si="8"/>
        <v/>
      </c>
      <c r="Y44" s="157"/>
    </row>
    <row r="45" spans="1:25" ht="17.45" customHeight="1">
      <c r="A45" s="156">
        <v>43</v>
      </c>
      <c r="B45" s="195" t="str">
        <f>IFERROR(INDEX('FB 콘텐츠 data'!AQ:AQ,MATCH('FB 신규발행'!A45,'FB 콘텐츠 data'!AR:AR,0)),"")</f>
        <v/>
      </c>
      <c r="C45" s="196" t="str">
        <f>IFERROR(INDEX('FB 콘텐츠 data'!$A$1:$AH$25,MATCH('FB 신규발행'!$A45,'FB 콘텐츠 data'!$AR:$AR,0),MATCH(C$2,'FB 콘텐츠 data'!$A$1:$AH$1,0)),"")</f>
        <v/>
      </c>
      <c r="D45" s="197" t="str">
        <f>IFERROR(INDEX('FB 콘텐츠 data'!$A$1:$AH$25,MATCH('FB 신규발행'!$A45,'FB 콘텐츠 data'!$AR:$AR,0),MATCH(D$2,'FB 콘텐츠 data'!$A$1:$AH$1,0)),"")</f>
        <v/>
      </c>
      <c r="E45" s="197" t="str">
        <f>IFERROR(INDEX('FB 콘텐츠 data'!$A$1:$AH$25,MATCH('FB 신규발행'!$A45,'FB 콘텐츠 data'!$AR:$AR,0),MATCH(E$2,'FB 콘텐츠 data'!$A$1:$AH$1,0)),"")</f>
        <v/>
      </c>
      <c r="F45" s="197" t="str">
        <f>IFERROR(INDEX('FB 콘텐츠 data'!$A$1:$AH$25,MATCH('FB 신규발행'!$A45,'FB 콘텐츠 data'!$AR:$AR,0),MATCH(F$2,'FB 콘텐츠 data'!$A$1:$AH$1,0)),"")</f>
        <v/>
      </c>
      <c r="G45" s="197" t="str">
        <f>IFERROR(INDEX('FB 콘텐츠 data'!$A$1:$AH$25,MATCH('FB 신규발행'!$A45,'FB 콘텐츠 data'!$AR:$AR,0),MATCH(G$2,'FB 콘텐츠 data'!$A$1:$AH$1,0)),"")</f>
        <v/>
      </c>
      <c r="H45" s="197" t="str">
        <f t="shared" si="5"/>
        <v/>
      </c>
      <c r="I45" s="197" t="str">
        <f>IFERROR(INDEX('FB 콘텐츠 data'!$A$1:$AH$25,MATCH('FB 신규발행'!$A45,'FB 콘텐츠 data'!$AR:$AR,0),MATCH(I$2,'FB 콘텐츠 data'!$A$1:$AH$1,0)),"")</f>
        <v/>
      </c>
      <c r="J45" s="197" t="str">
        <f>IFERROR(INDEX('FB 콘텐츠 data'!$A$1:$AH$25,MATCH('FB 신규발행'!$A45,'FB 콘텐츠 data'!$AR:$AR,0),MATCH(J$2,'FB 콘텐츠 data'!$A$1:$AH$1,0)),"")</f>
        <v/>
      </c>
      <c r="K45" s="196" t="str">
        <f>IFERROR(INDEX('FB 콘텐츠 data'!$A$1:$AR$25,MATCH('FB 신규발행'!$A45,'FB 콘텐츠 data'!$AR:$AR,0),MATCH(K$2,'FB 콘텐츠 data'!$A$1:$AR$1,0)),"")</f>
        <v/>
      </c>
      <c r="L45" s="197" t="str">
        <f>IFERROR(INDEX('FB 콘텐츠 data'!$A$1:$AH$25,MATCH('FB 신규발행'!$A45,'FB 콘텐츠 data'!$AR:$AR,0),MATCH(L$2,'FB 콘텐츠 data'!$A$1:$AH$1,0)),"")</f>
        <v/>
      </c>
      <c r="M45" s="197" t="str">
        <f>IFERROR(INDEX('FB 콘텐츠 data'!$A$1:$AH$25,MATCH('FB 신규발행'!$A45,'FB 콘텐츠 data'!$AR:$AR,0),MATCH(M$2,'FB 콘텐츠 data'!$A$1:$AH$1,0)),"")</f>
        <v/>
      </c>
      <c r="N45" s="197" t="str">
        <f>IFERROR(INDEX('FB 콘텐츠 data'!$A$1:$AH$25,MATCH('FB 신규발행'!$A45,'FB 콘텐츠 data'!$AR:$AR,0),MATCH(N$2,'FB 콘텐츠 data'!$A$1:$AH$1,0)),"")</f>
        <v/>
      </c>
      <c r="O45" s="197" t="str">
        <f>IFERROR(INDEX('FB 콘텐츠 data'!$A$1:$AH$25,MATCH('FB 신규발행'!$A45,'FB 콘텐츠 data'!$AR:$AR,0),MATCH(O$2,'FB 콘텐츠 data'!$A$1:$AH$1,0)),"")</f>
        <v/>
      </c>
      <c r="P45" s="197" t="str">
        <f>IFERROR(INDEX('FB 콘텐츠 data'!$A$1:$AH$25,MATCH('FB 신규발행'!$A45,'FB 콘텐츠 data'!$AR:$AR,0),MATCH(P$2,'FB 콘텐츠 data'!$A$1:$AH$1,0)),"")</f>
        <v/>
      </c>
      <c r="Q45" s="197" t="str">
        <f>IFERROR(INDEX('FB 콘텐츠 data'!$A$1:$AH$25,MATCH('FB 신규발행'!$A45,'FB 콘텐츠 data'!$AR:$AR,0),MATCH(Q$2,'FB 콘텐츠 data'!$A$1:$AH$1,0)),"")</f>
        <v/>
      </c>
      <c r="R45" s="198" t="str">
        <f t="shared" si="6"/>
        <v/>
      </c>
      <c r="T45" s="125" t="str">
        <f t="shared" si="7"/>
        <v/>
      </c>
      <c r="U45" s="125" t="str">
        <f t="shared" si="8"/>
        <v/>
      </c>
      <c r="Y45" s="157"/>
    </row>
    <row r="46" spans="1:25" ht="17.45" customHeight="1">
      <c r="A46" s="156">
        <v>44</v>
      </c>
      <c r="B46" s="195" t="str">
        <f>IFERROR(INDEX('FB 콘텐츠 data'!AQ:AQ,MATCH('FB 신규발행'!A46,'FB 콘텐츠 data'!AR:AR,0)),"")</f>
        <v/>
      </c>
      <c r="C46" s="196" t="str">
        <f>IFERROR(INDEX('FB 콘텐츠 data'!$A$1:$AH$25,MATCH('FB 신규발행'!$A46,'FB 콘텐츠 data'!$AR:$AR,0),MATCH(C$2,'FB 콘텐츠 data'!$A$1:$AH$1,0)),"")</f>
        <v/>
      </c>
      <c r="D46" s="197" t="str">
        <f>IFERROR(INDEX('FB 콘텐츠 data'!$A$1:$AH$25,MATCH('FB 신규발행'!$A46,'FB 콘텐츠 data'!$AR:$AR,0),MATCH(D$2,'FB 콘텐츠 data'!$A$1:$AH$1,0)),"")</f>
        <v/>
      </c>
      <c r="E46" s="197" t="str">
        <f>IFERROR(INDEX('FB 콘텐츠 data'!$A$1:$AH$25,MATCH('FB 신규발행'!$A46,'FB 콘텐츠 data'!$AR:$AR,0),MATCH(E$2,'FB 콘텐츠 data'!$A$1:$AH$1,0)),"")</f>
        <v/>
      </c>
      <c r="F46" s="197" t="str">
        <f>IFERROR(INDEX('FB 콘텐츠 data'!$A$1:$AH$25,MATCH('FB 신규발행'!$A46,'FB 콘텐츠 data'!$AR:$AR,0),MATCH(F$2,'FB 콘텐츠 data'!$A$1:$AH$1,0)),"")</f>
        <v/>
      </c>
      <c r="G46" s="197" t="str">
        <f>IFERROR(INDEX('FB 콘텐츠 data'!$A$1:$AH$25,MATCH('FB 신규발행'!$A46,'FB 콘텐츠 data'!$AR:$AR,0),MATCH(G$2,'FB 콘텐츠 data'!$A$1:$AH$1,0)),"")</f>
        <v/>
      </c>
      <c r="H46" s="197" t="str">
        <f t="shared" si="5"/>
        <v/>
      </c>
      <c r="I46" s="197" t="str">
        <f>IFERROR(INDEX('FB 콘텐츠 data'!$A$1:$AH$25,MATCH('FB 신규발행'!$A46,'FB 콘텐츠 data'!$AR:$AR,0),MATCH(I$2,'FB 콘텐츠 data'!$A$1:$AH$1,0)),"")</f>
        <v/>
      </c>
      <c r="J46" s="197" t="str">
        <f>IFERROR(INDEX('FB 콘텐츠 data'!$A$1:$AH$25,MATCH('FB 신규발행'!$A46,'FB 콘텐츠 data'!$AR:$AR,0),MATCH(J$2,'FB 콘텐츠 data'!$A$1:$AH$1,0)),"")</f>
        <v/>
      </c>
      <c r="K46" s="196" t="str">
        <f>IFERROR(INDEX('FB 콘텐츠 data'!$A$1:$AR$25,MATCH('FB 신규발행'!$A46,'FB 콘텐츠 data'!$AR:$AR,0),MATCH(K$2,'FB 콘텐츠 data'!$A$1:$AR$1,0)),"")</f>
        <v/>
      </c>
      <c r="L46" s="197" t="str">
        <f>IFERROR(INDEX('FB 콘텐츠 data'!$A$1:$AH$25,MATCH('FB 신규발행'!$A46,'FB 콘텐츠 data'!$AR:$AR,0),MATCH(L$2,'FB 콘텐츠 data'!$A$1:$AH$1,0)),"")</f>
        <v/>
      </c>
      <c r="M46" s="197" t="str">
        <f>IFERROR(INDEX('FB 콘텐츠 data'!$A$1:$AH$25,MATCH('FB 신규발행'!$A46,'FB 콘텐츠 data'!$AR:$AR,0),MATCH(M$2,'FB 콘텐츠 data'!$A$1:$AH$1,0)),"")</f>
        <v/>
      </c>
      <c r="N46" s="197" t="str">
        <f>IFERROR(INDEX('FB 콘텐츠 data'!$A$1:$AH$25,MATCH('FB 신규발행'!$A46,'FB 콘텐츠 data'!$AR:$AR,0),MATCH(N$2,'FB 콘텐츠 data'!$A$1:$AH$1,0)),"")</f>
        <v/>
      </c>
      <c r="O46" s="197" t="str">
        <f>IFERROR(INDEX('FB 콘텐츠 data'!$A$1:$AH$25,MATCH('FB 신규발행'!$A46,'FB 콘텐츠 data'!$AR:$AR,0),MATCH(O$2,'FB 콘텐츠 data'!$A$1:$AH$1,0)),"")</f>
        <v/>
      </c>
      <c r="P46" s="197" t="str">
        <f>IFERROR(INDEX('FB 콘텐츠 data'!$A$1:$AH$25,MATCH('FB 신규발행'!$A46,'FB 콘텐츠 data'!$AR:$AR,0),MATCH(P$2,'FB 콘텐츠 data'!$A$1:$AH$1,0)),"")</f>
        <v/>
      </c>
      <c r="Q46" s="197" t="str">
        <f>IFERROR(INDEX('FB 콘텐츠 data'!$A$1:$AH$25,MATCH('FB 신규발행'!$A46,'FB 콘텐츠 data'!$AR:$AR,0),MATCH(Q$2,'FB 콘텐츠 data'!$A$1:$AH$1,0)),"")</f>
        <v/>
      </c>
      <c r="R46" s="198" t="str">
        <f t="shared" si="6"/>
        <v/>
      </c>
      <c r="T46" s="125" t="str">
        <f t="shared" si="7"/>
        <v/>
      </c>
      <c r="U46" s="125" t="str">
        <f t="shared" si="8"/>
        <v/>
      </c>
      <c r="Y46" s="157"/>
    </row>
    <row r="47" spans="1:25" ht="17.45" customHeight="1">
      <c r="A47" s="156">
        <v>45</v>
      </c>
      <c r="B47" s="195" t="str">
        <f>IFERROR(INDEX('FB 콘텐츠 data'!AQ:AQ,MATCH('FB 신규발행'!A47,'FB 콘텐츠 data'!AR:AR,0)),"")</f>
        <v/>
      </c>
      <c r="C47" s="196" t="str">
        <f>IFERROR(INDEX('FB 콘텐츠 data'!$A$1:$AH$25,MATCH('FB 신규발행'!$A47,'FB 콘텐츠 data'!$AR:$AR,0),MATCH(C$2,'FB 콘텐츠 data'!$A$1:$AH$1,0)),"")</f>
        <v/>
      </c>
      <c r="D47" s="197" t="str">
        <f>IFERROR(INDEX('FB 콘텐츠 data'!$A$1:$AH$25,MATCH('FB 신규발행'!$A47,'FB 콘텐츠 data'!$AR:$AR,0),MATCH(D$2,'FB 콘텐츠 data'!$A$1:$AH$1,0)),"")</f>
        <v/>
      </c>
      <c r="E47" s="197" t="str">
        <f>IFERROR(INDEX('FB 콘텐츠 data'!$A$1:$AH$25,MATCH('FB 신규발행'!$A47,'FB 콘텐츠 data'!$AR:$AR,0),MATCH(E$2,'FB 콘텐츠 data'!$A$1:$AH$1,0)),"")</f>
        <v/>
      </c>
      <c r="F47" s="197" t="str">
        <f>IFERROR(INDEX('FB 콘텐츠 data'!$A$1:$AH$25,MATCH('FB 신규발행'!$A47,'FB 콘텐츠 data'!$AR:$AR,0),MATCH(F$2,'FB 콘텐츠 data'!$A$1:$AH$1,0)),"")</f>
        <v/>
      </c>
      <c r="G47" s="197" t="str">
        <f>IFERROR(INDEX('FB 콘텐츠 data'!$A$1:$AH$25,MATCH('FB 신규발행'!$A47,'FB 콘텐츠 data'!$AR:$AR,0),MATCH(G$2,'FB 콘텐츠 data'!$A$1:$AH$1,0)),"")</f>
        <v/>
      </c>
      <c r="H47" s="197" t="str">
        <f t="shared" si="5"/>
        <v/>
      </c>
      <c r="I47" s="197" t="str">
        <f>IFERROR(INDEX('FB 콘텐츠 data'!$A$1:$AH$25,MATCH('FB 신규발행'!$A47,'FB 콘텐츠 data'!$AR:$AR,0),MATCH(I$2,'FB 콘텐츠 data'!$A$1:$AH$1,0)),"")</f>
        <v/>
      </c>
      <c r="J47" s="197" t="str">
        <f>IFERROR(INDEX('FB 콘텐츠 data'!$A$1:$AH$25,MATCH('FB 신규발행'!$A47,'FB 콘텐츠 data'!$AR:$AR,0),MATCH(J$2,'FB 콘텐츠 data'!$A$1:$AH$1,0)),"")</f>
        <v/>
      </c>
      <c r="K47" s="196" t="str">
        <f>IFERROR(INDEX('FB 콘텐츠 data'!$A$1:$AR$25,MATCH('FB 신규발행'!$A47,'FB 콘텐츠 data'!$AR:$AR,0),MATCH(K$2,'FB 콘텐츠 data'!$A$1:$AR$1,0)),"")</f>
        <v/>
      </c>
      <c r="L47" s="197" t="str">
        <f>IFERROR(INDEX('FB 콘텐츠 data'!$A$1:$AH$25,MATCH('FB 신규발행'!$A47,'FB 콘텐츠 data'!$AR:$AR,0),MATCH(L$2,'FB 콘텐츠 data'!$A$1:$AH$1,0)),"")</f>
        <v/>
      </c>
      <c r="M47" s="197" t="str">
        <f>IFERROR(INDEX('FB 콘텐츠 data'!$A$1:$AH$25,MATCH('FB 신규발행'!$A47,'FB 콘텐츠 data'!$AR:$AR,0),MATCH(M$2,'FB 콘텐츠 data'!$A$1:$AH$1,0)),"")</f>
        <v/>
      </c>
      <c r="N47" s="197" t="str">
        <f>IFERROR(INDEX('FB 콘텐츠 data'!$A$1:$AH$25,MATCH('FB 신규발행'!$A47,'FB 콘텐츠 data'!$AR:$AR,0),MATCH(N$2,'FB 콘텐츠 data'!$A$1:$AH$1,0)),"")</f>
        <v/>
      </c>
      <c r="O47" s="197" t="str">
        <f>IFERROR(INDEX('FB 콘텐츠 data'!$A$1:$AH$25,MATCH('FB 신규발행'!$A47,'FB 콘텐츠 data'!$AR:$AR,0),MATCH(O$2,'FB 콘텐츠 data'!$A$1:$AH$1,0)),"")</f>
        <v/>
      </c>
      <c r="P47" s="197" t="str">
        <f>IFERROR(INDEX('FB 콘텐츠 data'!$A$1:$AH$25,MATCH('FB 신규발행'!$A47,'FB 콘텐츠 data'!$AR:$AR,0),MATCH(P$2,'FB 콘텐츠 data'!$A$1:$AH$1,0)),"")</f>
        <v/>
      </c>
      <c r="Q47" s="197" t="str">
        <f>IFERROR(INDEX('FB 콘텐츠 data'!$A$1:$AH$25,MATCH('FB 신규발행'!$A47,'FB 콘텐츠 data'!$AR:$AR,0),MATCH(Q$2,'FB 콘텐츠 data'!$A$1:$AH$1,0)),"")</f>
        <v/>
      </c>
      <c r="R47" s="198" t="str">
        <f t="shared" si="6"/>
        <v/>
      </c>
      <c r="T47" s="125" t="str">
        <f t="shared" si="7"/>
        <v/>
      </c>
      <c r="U47" s="125" t="str">
        <f t="shared" si="8"/>
        <v/>
      </c>
      <c r="Y47" s="157"/>
    </row>
    <row r="48" spans="1:25" ht="17.45" customHeight="1">
      <c r="A48" s="156">
        <v>46</v>
      </c>
      <c r="B48" s="195" t="str">
        <f>IFERROR(INDEX('FB 콘텐츠 data'!AQ:AQ,MATCH('FB 신규발행'!A48,'FB 콘텐츠 data'!AR:AR,0)),"")</f>
        <v/>
      </c>
      <c r="C48" s="196" t="str">
        <f>IFERROR(INDEX('FB 콘텐츠 data'!$A$1:$AH$25,MATCH('FB 신규발행'!$A48,'FB 콘텐츠 data'!$AR:$AR,0),MATCH(C$2,'FB 콘텐츠 data'!$A$1:$AH$1,0)),"")</f>
        <v/>
      </c>
      <c r="D48" s="197" t="str">
        <f>IFERROR(INDEX('FB 콘텐츠 data'!$A$1:$AH$25,MATCH('FB 신규발행'!$A48,'FB 콘텐츠 data'!$AR:$AR,0),MATCH(D$2,'FB 콘텐츠 data'!$A$1:$AH$1,0)),"")</f>
        <v/>
      </c>
      <c r="E48" s="197" t="str">
        <f>IFERROR(INDEX('FB 콘텐츠 data'!$A$1:$AH$25,MATCH('FB 신규발행'!$A48,'FB 콘텐츠 data'!$AR:$AR,0),MATCH(E$2,'FB 콘텐츠 data'!$A$1:$AH$1,0)),"")</f>
        <v/>
      </c>
      <c r="F48" s="197" t="str">
        <f>IFERROR(INDEX('FB 콘텐츠 data'!$A$1:$AH$25,MATCH('FB 신규발행'!$A48,'FB 콘텐츠 data'!$AR:$AR,0),MATCH(F$2,'FB 콘텐츠 data'!$A$1:$AH$1,0)),"")</f>
        <v/>
      </c>
      <c r="G48" s="197" t="str">
        <f>IFERROR(INDEX('FB 콘텐츠 data'!$A$1:$AH$25,MATCH('FB 신규발행'!$A48,'FB 콘텐츠 data'!$AR:$AR,0),MATCH(G$2,'FB 콘텐츠 data'!$A$1:$AH$1,0)),"")</f>
        <v/>
      </c>
      <c r="H48" s="197" t="str">
        <f t="shared" si="5"/>
        <v/>
      </c>
      <c r="I48" s="197" t="str">
        <f>IFERROR(INDEX('FB 콘텐츠 data'!$A$1:$AH$25,MATCH('FB 신규발행'!$A48,'FB 콘텐츠 data'!$AR:$AR,0),MATCH(I$2,'FB 콘텐츠 data'!$A$1:$AH$1,0)),"")</f>
        <v/>
      </c>
      <c r="J48" s="197" t="str">
        <f>IFERROR(INDEX('FB 콘텐츠 data'!$A$1:$AH$25,MATCH('FB 신규발행'!$A48,'FB 콘텐츠 data'!$AR:$AR,0),MATCH(J$2,'FB 콘텐츠 data'!$A$1:$AH$1,0)),"")</f>
        <v/>
      </c>
      <c r="K48" s="196" t="str">
        <f>IFERROR(INDEX('FB 콘텐츠 data'!$A$1:$AR$25,MATCH('FB 신규발행'!$A48,'FB 콘텐츠 data'!$AR:$AR,0),MATCH(K$2,'FB 콘텐츠 data'!$A$1:$AR$1,0)),"")</f>
        <v/>
      </c>
      <c r="L48" s="197" t="str">
        <f>IFERROR(INDEX('FB 콘텐츠 data'!$A$1:$AH$25,MATCH('FB 신규발행'!$A48,'FB 콘텐츠 data'!$AR:$AR,0),MATCH(L$2,'FB 콘텐츠 data'!$A$1:$AH$1,0)),"")</f>
        <v/>
      </c>
      <c r="M48" s="197" t="str">
        <f>IFERROR(INDEX('FB 콘텐츠 data'!$A$1:$AH$25,MATCH('FB 신규발행'!$A48,'FB 콘텐츠 data'!$AR:$AR,0),MATCH(M$2,'FB 콘텐츠 data'!$A$1:$AH$1,0)),"")</f>
        <v/>
      </c>
      <c r="N48" s="197" t="str">
        <f>IFERROR(INDEX('FB 콘텐츠 data'!$A$1:$AH$25,MATCH('FB 신규발행'!$A48,'FB 콘텐츠 data'!$AR:$AR,0),MATCH(N$2,'FB 콘텐츠 data'!$A$1:$AH$1,0)),"")</f>
        <v/>
      </c>
      <c r="O48" s="197" t="str">
        <f>IFERROR(INDEX('FB 콘텐츠 data'!$A$1:$AH$25,MATCH('FB 신규발행'!$A48,'FB 콘텐츠 data'!$AR:$AR,0),MATCH(O$2,'FB 콘텐츠 data'!$A$1:$AH$1,0)),"")</f>
        <v/>
      </c>
      <c r="P48" s="197" t="str">
        <f>IFERROR(INDEX('FB 콘텐츠 data'!$A$1:$AH$25,MATCH('FB 신규발행'!$A48,'FB 콘텐츠 data'!$AR:$AR,0),MATCH(P$2,'FB 콘텐츠 data'!$A$1:$AH$1,0)),"")</f>
        <v/>
      </c>
      <c r="Q48" s="197" t="str">
        <f>IFERROR(INDEX('FB 콘텐츠 data'!$A$1:$AH$25,MATCH('FB 신규발행'!$A48,'FB 콘텐츠 data'!$AR:$AR,0),MATCH(Q$2,'FB 콘텐츠 data'!$A$1:$AH$1,0)),"")</f>
        <v/>
      </c>
      <c r="R48" s="198" t="str">
        <f t="shared" si="6"/>
        <v/>
      </c>
      <c r="T48" s="125" t="str">
        <f t="shared" si="7"/>
        <v/>
      </c>
      <c r="U48" s="125" t="str">
        <f t="shared" si="8"/>
        <v/>
      </c>
      <c r="Y48" s="157"/>
    </row>
    <row r="49" spans="1:25" ht="17.45" customHeight="1">
      <c r="A49" s="156">
        <v>47</v>
      </c>
      <c r="B49" s="195" t="str">
        <f>IFERROR(INDEX('FB 콘텐츠 data'!AQ:AQ,MATCH('FB 신규발행'!A49,'FB 콘텐츠 data'!AR:AR,0)),"")</f>
        <v/>
      </c>
      <c r="C49" s="196" t="str">
        <f>IFERROR(INDEX('FB 콘텐츠 data'!$A$1:$AH$25,MATCH('FB 신규발행'!$A49,'FB 콘텐츠 data'!$AR:$AR,0),MATCH(C$2,'FB 콘텐츠 data'!$A$1:$AH$1,0)),"")</f>
        <v/>
      </c>
      <c r="D49" s="197" t="str">
        <f>IFERROR(INDEX('FB 콘텐츠 data'!$A$1:$AH$25,MATCH('FB 신규발행'!$A49,'FB 콘텐츠 data'!$AR:$AR,0),MATCH(D$2,'FB 콘텐츠 data'!$A$1:$AH$1,0)),"")</f>
        <v/>
      </c>
      <c r="E49" s="197" t="str">
        <f>IFERROR(INDEX('FB 콘텐츠 data'!$A$1:$AH$25,MATCH('FB 신규발행'!$A49,'FB 콘텐츠 data'!$AR:$AR,0),MATCH(E$2,'FB 콘텐츠 data'!$A$1:$AH$1,0)),"")</f>
        <v/>
      </c>
      <c r="F49" s="197" t="str">
        <f>IFERROR(INDEX('FB 콘텐츠 data'!$A$1:$AH$25,MATCH('FB 신규발행'!$A49,'FB 콘텐츠 data'!$AR:$AR,0),MATCH(F$2,'FB 콘텐츠 data'!$A$1:$AH$1,0)),"")</f>
        <v/>
      </c>
      <c r="G49" s="197" t="str">
        <f>IFERROR(INDEX('FB 콘텐츠 data'!$A$1:$AH$25,MATCH('FB 신규발행'!$A49,'FB 콘텐츠 data'!$AR:$AR,0),MATCH(G$2,'FB 콘텐츠 data'!$A$1:$AH$1,0)),"")</f>
        <v/>
      </c>
      <c r="H49" s="197" t="str">
        <f t="shared" si="5"/>
        <v/>
      </c>
      <c r="I49" s="197" t="str">
        <f>IFERROR(INDEX('FB 콘텐츠 data'!$A$1:$AH$25,MATCH('FB 신규발행'!$A49,'FB 콘텐츠 data'!$AR:$AR,0),MATCH(I$2,'FB 콘텐츠 data'!$A$1:$AH$1,0)),"")</f>
        <v/>
      </c>
      <c r="J49" s="197" t="str">
        <f>IFERROR(INDEX('FB 콘텐츠 data'!$A$1:$AH$25,MATCH('FB 신규발행'!$A49,'FB 콘텐츠 data'!$AR:$AR,0),MATCH(J$2,'FB 콘텐츠 data'!$A$1:$AH$1,0)),"")</f>
        <v/>
      </c>
      <c r="K49" s="196" t="str">
        <f>IFERROR(INDEX('FB 콘텐츠 data'!$A$1:$AR$25,MATCH('FB 신규발행'!$A49,'FB 콘텐츠 data'!$AR:$AR,0),MATCH(K$2,'FB 콘텐츠 data'!$A$1:$AR$1,0)),"")</f>
        <v/>
      </c>
      <c r="L49" s="197" t="str">
        <f>IFERROR(INDEX('FB 콘텐츠 data'!$A$1:$AH$25,MATCH('FB 신규발행'!$A49,'FB 콘텐츠 data'!$AR:$AR,0),MATCH(L$2,'FB 콘텐츠 data'!$A$1:$AH$1,0)),"")</f>
        <v/>
      </c>
      <c r="M49" s="197" t="str">
        <f>IFERROR(INDEX('FB 콘텐츠 data'!$A$1:$AH$25,MATCH('FB 신규발행'!$A49,'FB 콘텐츠 data'!$AR:$AR,0),MATCH(M$2,'FB 콘텐츠 data'!$A$1:$AH$1,0)),"")</f>
        <v/>
      </c>
      <c r="N49" s="197" t="str">
        <f>IFERROR(INDEX('FB 콘텐츠 data'!$A$1:$AH$25,MATCH('FB 신규발행'!$A49,'FB 콘텐츠 data'!$AR:$AR,0),MATCH(N$2,'FB 콘텐츠 data'!$A$1:$AH$1,0)),"")</f>
        <v/>
      </c>
      <c r="O49" s="197" t="str">
        <f>IFERROR(INDEX('FB 콘텐츠 data'!$A$1:$AH$25,MATCH('FB 신규발행'!$A49,'FB 콘텐츠 data'!$AR:$AR,0),MATCH(O$2,'FB 콘텐츠 data'!$A$1:$AH$1,0)),"")</f>
        <v/>
      </c>
      <c r="P49" s="197" t="str">
        <f>IFERROR(INDEX('FB 콘텐츠 data'!$A$1:$AH$25,MATCH('FB 신규발행'!$A49,'FB 콘텐츠 data'!$AR:$AR,0),MATCH(P$2,'FB 콘텐츠 data'!$A$1:$AH$1,0)),"")</f>
        <v/>
      </c>
      <c r="Q49" s="197" t="str">
        <f>IFERROR(INDEX('FB 콘텐츠 data'!$A$1:$AH$25,MATCH('FB 신규발행'!$A49,'FB 콘텐츠 data'!$AR:$AR,0),MATCH(Q$2,'FB 콘텐츠 data'!$A$1:$AH$1,0)),"")</f>
        <v/>
      </c>
      <c r="R49" s="198" t="str">
        <f t="shared" si="6"/>
        <v/>
      </c>
      <c r="T49" s="125" t="str">
        <f t="shared" si="7"/>
        <v/>
      </c>
      <c r="U49" s="125" t="str">
        <f t="shared" si="8"/>
        <v/>
      </c>
      <c r="Y49" s="157"/>
    </row>
    <row r="50" spans="1:25" ht="17.45" customHeight="1">
      <c r="A50" s="156">
        <v>48</v>
      </c>
      <c r="B50" s="195" t="str">
        <f>IFERROR(INDEX('FB 콘텐츠 data'!AQ:AQ,MATCH('FB 신규발행'!A50,'FB 콘텐츠 data'!AR:AR,0)),"")</f>
        <v/>
      </c>
      <c r="C50" s="196" t="str">
        <f>IFERROR(INDEX('FB 콘텐츠 data'!$A$1:$AH$25,MATCH('FB 신규발행'!$A50,'FB 콘텐츠 data'!$AR:$AR,0),MATCH(C$2,'FB 콘텐츠 data'!$A$1:$AH$1,0)),"")</f>
        <v/>
      </c>
      <c r="D50" s="197" t="str">
        <f>IFERROR(INDEX('FB 콘텐츠 data'!$A$1:$AH$25,MATCH('FB 신규발행'!$A50,'FB 콘텐츠 data'!$AR:$AR,0),MATCH(D$2,'FB 콘텐츠 data'!$A$1:$AH$1,0)),"")</f>
        <v/>
      </c>
      <c r="E50" s="197" t="str">
        <f>IFERROR(INDEX('FB 콘텐츠 data'!$A$1:$AH$25,MATCH('FB 신규발행'!$A50,'FB 콘텐츠 data'!$AR:$AR,0),MATCH(E$2,'FB 콘텐츠 data'!$A$1:$AH$1,0)),"")</f>
        <v/>
      </c>
      <c r="F50" s="197" t="str">
        <f>IFERROR(INDEX('FB 콘텐츠 data'!$A$1:$AH$25,MATCH('FB 신규발행'!$A50,'FB 콘텐츠 data'!$AR:$AR,0),MATCH(F$2,'FB 콘텐츠 data'!$A$1:$AH$1,0)),"")</f>
        <v/>
      </c>
      <c r="G50" s="197" t="str">
        <f>IFERROR(INDEX('FB 콘텐츠 data'!$A$1:$AH$25,MATCH('FB 신규발행'!$A50,'FB 콘텐츠 data'!$AR:$AR,0),MATCH(G$2,'FB 콘텐츠 data'!$A$1:$AH$1,0)),"")</f>
        <v/>
      </c>
      <c r="H50" s="197" t="str">
        <f t="shared" si="5"/>
        <v/>
      </c>
      <c r="I50" s="197" t="str">
        <f>IFERROR(INDEX('FB 콘텐츠 data'!$A$1:$AH$25,MATCH('FB 신규발행'!$A50,'FB 콘텐츠 data'!$AR:$AR,0),MATCH(I$2,'FB 콘텐츠 data'!$A$1:$AH$1,0)),"")</f>
        <v/>
      </c>
      <c r="J50" s="197" t="str">
        <f>IFERROR(INDEX('FB 콘텐츠 data'!$A$1:$AH$25,MATCH('FB 신규발행'!$A50,'FB 콘텐츠 data'!$AR:$AR,0),MATCH(J$2,'FB 콘텐츠 data'!$A$1:$AH$1,0)),"")</f>
        <v/>
      </c>
      <c r="K50" s="196" t="str">
        <f>IFERROR(INDEX('FB 콘텐츠 data'!$A$1:$AR$25,MATCH('FB 신규발행'!$A50,'FB 콘텐츠 data'!$AR:$AR,0),MATCH(K$2,'FB 콘텐츠 data'!$A$1:$AR$1,0)),"")</f>
        <v/>
      </c>
      <c r="L50" s="197" t="str">
        <f>IFERROR(INDEX('FB 콘텐츠 data'!$A$1:$AH$25,MATCH('FB 신규발행'!$A50,'FB 콘텐츠 data'!$AR:$AR,0),MATCH(L$2,'FB 콘텐츠 data'!$A$1:$AH$1,0)),"")</f>
        <v/>
      </c>
      <c r="M50" s="197" t="str">
        <f>IFERROR(INDEX('FB 콘텐츠 data'!$A$1:$AH$25,MATCH('FB 신규발행'!$A50,'FB 콘텐츠 data'!$AR:$AR,0),MATCH(M$2,'FB 콘텐츠 data'!$A$1:$AH$1,0)),"")</f>
        <v/>
      </c>
      <c r="N50" s="197" t="str">
        <f>IFERROR(INDEX('FB 콘텐츠 data'!$A$1:$AH$25,MATCH('FB 신규발행'!$A50,'FB 콘텐츠 data'!$AR:$AR,0),MATCH(N$2,'FB 콘텐츠 data'!$A$1:$AH$1,0)),"")</f>
        <v/>
      </c>
      <c r="O50" s="197" t="str">
        <f>IFERROR(INDEX('FB 콘텐츠 data'!$A$1:$AH$25,MATCH('FB 신규발행'!$A50,'FB 콘텐츠 data'!$AR:$AR,0),MATCH(O$2,'FB 콘텐츠 data'!$A$1:$AH$1,0)),"")</f>
        <v/>
      </c>
      <c r="P50" s="197" t="str">
        <f>IFERROR(INDEX('FB 콘텐츠 data'!$A$1:$AH$25,MATCH('FB 신규발행'!$A50,'FB 콘텐츠 data'!$AR:$AR,0),MATCH(P$2,'FB 콘텐츠 data'!$A$1:$AH$1,0)),"")</f>
        <v/>
      </c>
      <c r="Q50" s="197" t="str">
        <f>IFERROR(INDEX('FB 콘텐츠 data'!$A$1:$AH$25,MATCH('FB 신규발행'!$A50,'FB 콘텐츠 data'!$AR:$AR,0),MATCH(Q$2,'FB 콘텐츠 data'!$A$1:$AH$1,0)),"")</f>
        <v/>
      </c>
      <c r="R50" s="198" t="str">
        <f t="shared" si="6"/>
        <v/>
      </c>
      <c r="T50" s="125" t="str">
        <f t="shared" si="7"/>
        <v/>
      </c>
      <c r="U50" s="125" t="str">
        <f t="shared" si="8"/>
        <v/>
      </c>
      <c r="Y50" s="157"/>
    </row>
    <row r="51" spans="1:25" ht="17.45" customHeight="1">
      <c r="A51" s="156">
        <v>49</v>
      </c>
      <c r="B51" s="195" t="str">
        <f>IFERROR(INDEX('FB 콘텐츠 data'!AQ:AQ,MATCH('FB 신규발행'!A51,'FB 콘텐츠 data'!AR:AR,0)),"")</f>
        <v/>
      </c>
      <c r="C51" s="196" t="str">
        <f>IFERROR(INDEX('FB 콘텐츠 data'!$A$1:$AH$25,MATCH('FB 신규발행'!$A51,'FB 콘텐츠 data'!$AR:$AR,0),MATCH(C$2,'FB 콘텐츠 data'!$A$1:$AH$1,0)),"")</f>
        <v/>
      </c>
      <c r="D51" s="197" t="str">
        <f>IFERROR(INDEX('FB 콘텐츠 data'!$A$1:$AH$25,MATCH('FB 신규발행'!$A51,'FB 콘텐츠 data'!$AR:$AR,0),MATCH(D$2,'FB 콘텐츠 data'!$A$1:$AH$1,0)),"")</f>
        <v/>
      </c>
      <c r="E51" s="197" t="str">
        <f>IFERROR(INDEX('FB 콘텐츠 data'!$A$1:$AH$25,MATCH('FB 신규발행'!$A51,'FB 콘텐츠 data'!$AR:$AR,0),MATCH(E$2,'FB 콘텐츠 data'!$A$1:$AH$1,0)),"")</f>
        <v/>
      </c>
      <c r="F51" s="197" t="str">
        <f>IFERROR(INDEX('FB 콘텐츠 data'!$A$1:$AH$25,MATCH('FB 신규발행'!$A51,'FB 콘텐츠 data'!$AR:$AR,0),MATCH(F$2,'FB 콘텐츠 data'!$A$1:$AH$1,0)),"")</f>
        <v/>
      </c>
      <c r="G51" s="197" t="str">
        <f>IFERROR(INDEX('FB 콘텐츠 data'!$A$1:$AH$25,MATCH('FB 신규발행'!$A51,'FB 콘텐츠 data'!$AR:$AR,0),MATCH(G$2,'FB 콘텐츠 data'!$A$1:$AH$1,0)),"")</f>
        <v/>
      </c>
      <c r="H51" s="197" t="str">
        <f t="shared" si="5"/>
        <v/>
      </c>
      <c r="I51" s="197" t="str">
        <f>IFERROR(INDEX('FB 콘텐츠 data'!$A$1:$AH$25,MATCH('FB 신규발행'!$A51,'FB 콘텐츠 data'!$AR:$AR,0),MATCH(I$2,'FB 콘텐츠 data'!$A$1:$AH$1,0)),"")</f>
        <v/>
      </c>
      <c r="J51" s="197" t="str">
        <f>IFERROR(INDEX('FB 콘텐츠 data'!$A$1:$AH$25,MATCH('FB 신규발행'!$A51,'FB 콘텐츠 data'!$AR:$AR,0),MATCH(J$2,'FB 콘텐츠 data'!$A$1:$AH$1,0)),"")</f>
        <v/>
      </c>
      <c r="K51" s="196" t="str">
        <f>IFERROR(INDEX('FB 콘텐츠 data'!$A$1:$AR$25,MATCH('FB 신규발행'!$A51,'FB 콘텐츠 data'!$AR:$AR,0),MATCH(K$2,'FB 콘텐츠 data'!$A$1:$AR$1,0)),"")</f>
        <v/>
      </c>
      <c r="L51" s="197" t="str">
        <f>IFERROR(INDEX('FB 콘텐츠 data'!$A$1:$AH$25,MATCH('FB 신규발행'!$A51,'FB 콘텐츠 data'!$AR:$AR,0),MATCH(L$2,'FB 콘텐츠 data'!$A$1:$AH$1,0)),"")</f>
        <v/>
      </c>
      <c r="M51" s="197" t="str">
        <f>IFERROR(INDEX('FB 콘텐츠 data'!$A$1:$AH$25,MATCH('FB 신규발행'!$A51,'FB 콘텐츠 data'!$AR:$AR,0),MATCH(M$2,'FB 콘텐츠 data'!$A$1:$AH$1,0)),"")</f>
        <v/>
      </c>
      <c r="N51" s="197" t="str">
        <f>IFERROR(INDEX('FB 콘텐츠 data'!$A$1:$AH$25,MATCH('FB 신규발행'!$A51,'FB 콘텐츠 data'!$AR:$AR,0),MATCH(N$2,'FB 콘텐츠 data'!$A$1:$AH$1,0)),"")</f>
        <v/>
      </c>
      <c r="O51" s="197" t="str">
        <f>IFERROR(INDEX('FB 콘텐츠 data'!$A$1:$AH$25,MATCH('FB 신규발행'!$A51,'FB 콘텐츠 data'!$AR:$AR,0),MATCH(O$2,'FB 콘텐츠 data'!$A$1:$AH$1,0)),"")</f>
        <v/>
      </c>
      <c r="P51" s="197" t="str">
        <f>IFERROR(INDEX('FB 콘텐츠 data'!$A$1:$AH$25,MATCH('FB 신규발행'!$A51,'FB 콘텐츠 data'!$AR:$AR,0),MATCH(P$2,'FB 콘텐츠 data'!$A$1:$AH$1,0)),"")</f>
        <v/>
      </c>
      <c r="Q51" s="197" t="str">
        <f>IFERROR(INDEX('FB 콘텐츠 data'!$A$1:$AH$25,MATCH('FB 신규발행'!$A51,'FB 콘텐츠 data'!$AR:$AR,0),MATCH(Q$2,'FB 콘텐츠 data'!$A$1:$AH$1,0)),"")</f>
        <v/>
      </c>
      <c r="R51" s="198" t="str">
        <f t="shared" si="6"/>
        <v/>
      </c>
      <c r="T51" s="125" t="str">
        <f t="shared" si="7"/>
        <v/>
      </c>
      <c r="U51" s="125" t="str">
        <f t="shared" si="8"/>
        <v/>
      </c>
      <c r="Y51" s="157"/>
    </row>
    <row r="52" spans="1:25" ht="17.45" customHeight="1">
      <c r="A52" s="156">
        <v>50</v>
      </c>
      <c r="B52" s="195" t="str">
        <f>IFERROR(INDEX('FB 콘텐츠 data'!AQ:AQ,MATCH('FB 신규발행'!A52,'FB 콘텐츠 data'!AR:AR,0)),"")</f>
        <v/>
      </c>
      <c r="C52" s="196" t="str">
        <f>IFERROR(INDEX('FB 콘텐츠 data'!$A$1:$AH$25,MATCH('FB 신규발행'!$A52,'FB 콘텐츠 data'!$AR:$AR,0),MATCH(C$2,'FB 콘텐츠 data'!$A$1:$AH$1,0)),"")</f>
        <v/>
      </c>
      <c r="D52" s="197" t="str">
        <f>IFERROR(INDEX('FB 콘텐츠 data'!$A$1:$AH$25,MATCH('FB 신규발행'!$A52,'FB 콘텐츠 data'!$AR:$AR,0),MATCH(D$2,'FB 콘텐츠 data'!$A$1:$AH$1,0)),"")</f>
        <v/>
      </c>
      <c r="E52" s="197" t="str">
        <f>IFERROR(INDEX('FB 콘텐츠 data'!$A$1:$AH$25,MATCH('FB 신규발행'!$A52,'FB 콘텐츠 data'!$AR:$AR,0),MATCH(E$2,'FB 콘텐츠 data'!$A$1:$AH$1,0)),"")</f>
        <v/>
      </c>
      <c r="F52" s="197" t="str">
        <f>IFERROR(INDEX('FB 콘텐츠 data'!$A$1:$AH$25,MATCH('FB 신규발행'!$A52,'FB 콘텐츠 data'!$AR:$AR,0),MATCH(F$2,'FB 콘텐츠 data'!$A$1:$AH$1,0)),"")</f>
        <v/>
      </c>
      <c r="G52" s="197" t="str">
        <f>IFERROR(INDEX('FB 콘텐츠 data'!$A$1:$AH$25,MATCH('FB 신규발행'!$A52,'FB 콘텐츠 data'!$AR:$AR,0),MATCH(G$2,'FB 콘텐츠 data'!$A$1:$AH$1,0)),"")</f>
        <v/>
      </c>
      <c r="H52" s="197" t="str">
        <f t="shared" si="5"/>
        <v/>
      </c>
      <c r="I52" s="197" t="str">
        <f>IFERROR(INDEX('FB 콘텐츠 data'!$A$1:$AH$25,MATCH('FB 신규발행'!$A52,'FB 콘텐츠 data'!$AR:$AR,0),MATCH(I$2,'FB 콘텐츠 data'!$A$1:$AH$1,0)),"")</f>
        <v/>
      </c>
      <c r="J52" s="197" t="str">
        <f>IFERROR(INDEX('FB 콘텐츠 data'!$A$1:$AH$25,MATCH('FB 신규발행'!$A52,'FB 콘텐츠 data'!$AR:$AR,0),MATCH(J$2,'FB 콘텐츠 data'!$A$1:$AH$1,0)),"")</f>
        <v/>
      </c>
      <c r="K52" s="196" t="str">
        <f>IFERROR(INDEX('FB 콘텐츠 data'!$A$1:$AR$25,MATCH('FB 신규발행'!$A52,'FB 콘텐츠 data'!$AR:$AR,0),MATCH(K$2,'FB 콘텐츠 data'!$A$1:$AR$1,0)),"")</f>
        <v/>
      </c>
      <c r="L52" s="197" t="str">
        <f>IFERROR(INDEX('FB 콘텐츠 data'!$A$1:$AH$25,MATCH('FB 신규발행'!$A52,'FB 콘텐츠 data'!$AR:$AR,0),MATCH(L$2,'FB 콘텐츠 data'!$A$1:$AH$1,0)),"")</f>
        <v/>
      </c>
      <c r="M52" s="197" t="str">
        <f>IFERROR(INDEX('FB 콘텐츠 data'!$A$1:$AH$25,MATCH('FB 신규발행'!$A52,'FB 콘텐츠 data'!$AR:$AR,0),MATCH(M$2,'FB 콘텐츠 data'!$A$1:$AH$1,0)),"")</f>
        <v/>
      </c>
      <c r="N52" s="197" t="str">
        <f>IFERROR(INDEX('FB 콘텐츠 data'!$A$1:$AH$25,MATCH('FB 신규발행'!$A52,'FB 콘텐츠 data'!$AR:$AR,0),MATCH(N$2,'FB 콘텐츠 data'!$A$1:$AH$1,0)),"")</f>
        <v/>
      </c>
      <c r="O52" s="197" t="str">
        <f>IFERROR(INDEX('FB 콘텐츠 data'!$A$1:$AH$25,MATCH('FB 신규발행'!$A52,'FB 콘텐츠 data'!$AR:$AR,0),MATCH(O$2,'FB 콘텐츠 data'!$A$1:$AH$1,0)),"")</f>
        <v/>
      </c>
      <c r="P52" s="197" t="str">
        <f>IFERROR(INDEX('FB 콘텐츠 data'!$A$1:$AH$25,MATCH('FB 신규발행'!$A52,'FB 콘텐츠 data'!$AR:$AR,0),MATCH(P$2,'FB 콘텐츠 data'!$A$1:$AH$1,0)),"")</f>
        <v/>
      </c>
      <c r="Q52" s="197" t="str">
        <f>IFERROR(INDEX('FB 콘텐츠 data'!$A$1:$AH$25,MATCH('FB 신규발행'!$A52,'FB 콘텐츠 data'!$AR:$AR,0),MATCH(Q$2,'FB 콘텐츠 data'!$A$1:$AH$1,0)),"")</f>
        <v/>
      </c>
      <c r="R52" s="198" t="str">
        <f t="shared" si="6"/>
        <v/>
      </c>
      <c r="T52" s="125" t="str">
        <f t="shared" si="7"/>
        <v/>
      </c>
      <c r="U52" s="125" t="str">
        <f t="shared" si="8"/>
        <v/>
      </c>
      <c r="Y52" s="157"/>
    </row>
    <row r="53" spans="1:25" ht="17.45" customHeight="1">
      <c r="A53" s="156">
        <v>51</v>
      </c>
      <c r="B53" s="195" t="str">
        <f>IFERROR(INDEX('FB 콘텐츠 data'!AQ:AQ,MATCH('FB 신규발행'!A53,'FB 콘텐츠 data'!AR:AR,0)),"")</f>
        <v/>
      </c>
      <c r="C53" s="196" t="str">
        <f>IFERROR(INDEX('FB 콘텐츠 data'!$A$1:$AH$25,MATCH('FB 신규발행'!$A53,'FB 콘텐츠 data'!$AR:$AR,0),MATCH(C$2,'FB 콘텐츠 data'!$A$1:$AH$1,0)),"")</f>
        <v/>
      </c>
      <c r="D53" s="197" t="str">
        <f>IFERROR(INDEX('FB 콘텐츠 data'!$A$1:$AH$25,MATCH('FB 신규발행'!$A53,'FB 콘텐츠 data'!$AR:$AR,0),MATCH(D$2,'FB 콘텐츠 data'!$A$1:$AH$1,0)),"")</f>
        <v/>
      </c>
      <c r="E53" s="197" t="str">
        <f>IFERROR(INDEX('FB 콘텐츠 data'!$A$1:$AH$25,MATCH('FB 신규발행'!$A53,'FB 콘텐츠 data'!$AR:$AR,0),MATCH(E$2,'FB 콘텐츠 data'!$A$1:$AH$1,0)),"")</f>
        <v/>
      </c>
      <c r="F53" s="197" t="str">
        <f>IFERROR(INDEX('FB 콘텐츠 data'!$A$1:$AH$25,MATCH('FB 신규발행'!$A53,'FB 콘텐츠 data'!$AR:$AR,0),MATCH(F$2,'FB 콘텐츠 data'!$A$1:$AH$1,0)),"")</f>
        <v/>
      </c>
      <c r="G53" s="197" t="str">
        <f>IFERROR(INDEX('FB 콘텐츠 data'!$A$1:$AH$25,MATCH('FB 신규발행'!$A53,'FB 콘텐츠 data'!$AR:$AR,0),MATCH(G$2,'FB 콘텐츠 data'!$A$1:$AH$1,0)),"")</f>
        <v/>
      </c>
      <c r="H53" s="197" t="str">
        <f t="shared" si="5"/>
        <v/>
      </c>
      <c r="I53" s="197" t="str">
        <f>IFERROR(INDEX('FB 콘텐츠 data'!$A$1:$AH$25,MATCH('FB 신규발행'!$A53,'FB 콘텐츠 data'!$AR:$AR,0),MATCH(I$2,'FB 콘텐츠 data'!$A$1:$AH$1,0)),"")</f>
        <v/>
      </c>
      <c r="J53" s="197" t="str">
        <f>IFERROR(INDEX('FB 콘텐츠 data'!$A$1:$AH$25,MATCH('FB 신규발행'!$A53,'FB 콘텐츠 data'!$AR:$AR,0),MATCH(J$2,'FB 콘텐츠 data'!$A$1:$AH$1,0)),"")</f>
        <v/>
      </c>
      <c r="K53" s="196" t="str">
        <f>IFERROR(INDEX('FB 콘텐츠 data'!$A$1:$AR$25,MATCH('FB 신규발행'!$A53,'FB 콘텐츠 data'!$AR:$AR,0),MATCH(K$2,'FB 콘텐츠 data'!$A$1:$AR$1,0)),"")</f>
        <v/>
      </c>
      <c r="L53" s="197" t="str">
        <f>IFERROR(INDEX('FB 콘텐츠 data'!$A$1:$AH$25,MATCH('FB 신규발행'!$A53,'FB 콘텐츠 data'!$AR:$AR,0),MATCH(L$2,'FB 콘텐츠 data'!$A$1:$AH$1,0)),"")</f>
        <v/>
      </c>
      <c r="M53" s="197" t="str">
        <f>IFERROR(INDEX('FB 콘텐츠 data'!$A$1:$AH$25,MATCH('FB 신규발행'!$A53,'FB 콘텐츠 data'!$AR:$AR,0),MATCH(M$2,'FB 콘텐츠 data'!$A$1:$AH$1,0)),"")</f>
        <v/>
      </c>
      <c r="N53" s="197" t="str">
        <f>IFERROR(INDEX('FB 콘텐츠 data'!$A$1:$AH$25,MATCH('FB 신규발행'!$A53,'FB 콘텐츠 data'!$AR:$AR,0),MATCH(N$2,'FB 콘텐츠 data'!$A$1:$AH$1,0)),"")</f>
        <v/>
      </c>
      <c r="O53" s="197" t="str">
        <f>IFERROR(INDEX('FB 콘텐츠 data'!$A$1:$AH$25,MATCH('FB 신규발행'!$A53,'FB 콘텐츠 data'!$AR:$AR,0),MATCH(O$2,'FB 콘텐츠 data'!$A$1:$AH$1,0)),"")</f>
        <v/>
      </c>
      <c r="P53" s="197" t="str">
        <f>IFERROR(INDEX('FB 콘텐츠 data'!$A$1:$AH$25,MATCH('FB 신규발행'!$A53,'FB 콘텐츠 data'!$AR:$AR,0),MATCH(P$2,'FB 콘텐츠 data'!$A$1:$AH$1,0)),"")</f>
        <v/>
      </c>
      <c r="Q53" s="197" t="str">
        <f>IFERROR(INDEX('FB 콘텐츠 data'!$A$1:$AH$25,MATCH('FB 신규발행'!$A53,'FB 콘텐츠 data'!$AR:$AR,0),MATCH(Q$2,'FB 콘텐츠 data'!$A$1:$AH$1,0)),"")</f>
        <v/>
      </c>
      <c r="R53" s="198" t="str">
        <f t="shared" si="6"/>
        <v/>
      </c>
      <c r="T53" s="125" t="str">
        <f t="shared" si="7"/>
        <v/>
      </c>
      <c r="U53" s="125" t="str">
        <f t="shared" si="8"/>
        <v/>
      </c>
      <c r="Y53" s="157"/>
    </row>
    <row r="54" spans="1:25" ht="17.45" customHeight="1">
      <c r="A54" s="156">
        <v>52</v>
      </c>
      <c r="B54" s="195" t="str">
        <f>IFERROR(INDEX('FB 콘텐츠 data'!AQ:AQ,MATCH('FB 신규발행'!A54,'FB 콘텐츠 data'!AR:AR,0)),"")</f>
        <v/>
      </c>
      <c r="C54" s="196" t="str">
        <f>IFERROR(INDEX('FB 콘텐츠 data'!$A$1:$AH$25,MATCH('FB 신규발행'!$A54,'FB 콘텐츠 data'!$AR:$AR,0),MATCH(C$2,'FB 콘텐츠 data'!$A$1:$AH$1,0)),"")</f>
        <v/>
      </c>
      <c r="D54" s="197" t="str">
        <f>IFERROR(INDEX('FB 콘텐츠 data'!$A$1:$AH$25,MATCH('FB 신규발행'!$A54,'FB 콘텐츠 data'!$AR:$AR,0),MATCH(D$2,'FB 콘텐츠 data'!$A$1:$AH$1,0)),"")</f>
        <v/>
      </c>
      <c r="E54" s="197" t="str">
        <f>IFERROR(INDEX('FB 콘텐츠 data'!$A$1:$AH$25,MATCH('FB 신규발행'!$A54,'FB 콘텐츠 data'!$AR:$AR,0),MATCH(E$2,'FB 콘텐츠 data'!$A$1:$AH$1,0)),"")</f>
        <v/>
      </c>
      <c r="F54" s="197" t="str">
        <f>IFERROR(INDEX('FB 콘텐츠 data'!$A$1:$AH$25,MATCH('FB 신규발행'!$A54,'FB 콘텐츠 data'!$AR:$AR,0),MATCH(F$2,'FB 콘텐츠 data'!$A$1:$AH$1,0)),"")</f>
        <v/>
      </c>
      <c r="G54" s="197" t="str">
        <f>IFERROR(INDEX('FB 콘텐츠 data'!$A$1:$AH$25,MATCH('FB 신규발행'!$A54,'FB 콘텐츠 data'!$AR:$AR,0),MATCH(G$2,'FB 콘텐츠 data'!$A$1:$AH$1,0)),"")</f>
        <v/>
      </c>
      <c r="H54" s="197" t="str">
        <f t="shared" si="5"/>
        <v/>
      </c>
      <c r="I54" s="197" t="str">
        <f>IFERROR(INDEX('FB 콘텐츠 data'!$A$1:$AH$25,MATCH('FB 신규발행'!$A54,'FB 콘텐츠 data'!$AR:$AR,0),MATCH(I$2,'FB 콘텐츠 data'!$A$1:$AH$1,0)),"")</f>
        <v/>
      </c>
      <c r="J54" s="197" t="str">
        <f>IFERROR(INDEX('FB 콘텐츠 data'!$A$1:$AH$25,MATCH('FB 신규발행'!$A54,'FB 콘텐츠 data'!$AR:$AR,0),MATCH(J$2,'FB 콘텐츠 data'!$A$1:$AH$1,0)),"")</f>
        <v/>
      </c>
      <c r="K54" s="196" t="str">
        <f>IFERROR(INDEX('FB 콘텐츠 data'!$A$1:$AR$25,MATCH('FB 신규발행'!$A54,'FB 콘텐츠 data'!$AR:$AR,0),MATCH(K$2,'FB 콘텐츠 data'!$A$1:$AR$1,0)),"")</f>
        <v/>
      </c>
      <c r="L54" s="197" t="str">
        <f>IFERROR(INDEX('FB 콘텐츠 data'!$A$1:$AH$25,MATCH('FB 신규발행'!$A54,'FB 콘텐츠 data'!$AR:$AR,0),MATCH(L$2,'FB 콘텐츠 data'!$A$1:$AH$1,0)),"")</f>
        <v/>
      </c>
      <c r="M54" s="197" t="str">
        <f>IFERROR(INDEX('FB 콘텐츠 data'!$A$1:$AH$25,MATCH('FB 신규발행'!$A54,'FB 콘텐츠 data'!$AR:$AR,0),MATCH(M$2,'FB 콘텐츠 data'!$A$1:$AH$1,0)),"")</f>
        <v/>
      </c>
      <c r="N54" s="197" t="str">
        <f>IFERROR(INDEX('FB 콘텐츠 data'!$A$1:$AH$25,MATCH('FB 신규발행'!$A54,'FB 콘텐츠 data'!$AR:$AR,0),MATCH(N$2,'FB 콘텐츠 data'!$A$1:$AH$1,0)),"")</f>
        <v/>
      </c>
      <c r="O54" s="197" t="str">
        <f>IFERROR(INDEX('FB 콘텐츠 data'!$A$1:$AH$25,MATCH('FB 신규발행'!$A54,'FB 콘텐츠 data'!$AR:$AR,0),MATCH(O$2,'FB 콘텐츠 data'!$A$1:$AH$1,0)),"")</f>
        <v/>
      </c>
      <c r="P54" s="197" t="str">
        <f>IFERROR(INDEX('FB 콘텐츠 data'!$A$1:$AH$25,MATCH('FB 신규발행'!$A54,'FB 콘텐츠 data'!$AR:$AR,0),MATCH(P$2,'FB 콘텐츠 data'!$A$1:$AH$1,0)),"")</f>
        <v/>
      </c>
      <c r="Q54" s="197" t="str">
        <f>IFERROR(INDEX('FB 콘텐츠 data'!$A$1:$AH$25,MATCH('FB 신규발행'!$A54,'FB 콘텐츠 data'!$AR:$AR,0),MATCH(Q$2,'FB 콘텐츠 data'!$A$1:$AH$1,0)),"")</f>
        <v/>
      </c>
      <c r="R54" s="198" t="str">
        <f t="shared" si="6"/>
        <v/>
      </c>
      <c r="T54" s="125" t="str">
        <f t="shared" si="7"/>
        <v/>
      </c>
      <c r="U54" s="125" t="str">
        <f t="shared" si="8"/>
        <v/>
      </c>
      <c r="Y54" s="157"/>
    </row>
    <row r="55" spans="1:25" ht="17.45" customHeight="1">
      <c r="A55" s="156">
        <v>53</v>
      </c>
      <c r="B55" s="195" t="str">
        <f>IFERROR(INDEX('FB 콘텐츠 data'!AQ:AQ,MATCH('FB 신규발행'!A55,'FB 콘텐츠 data'!AR:AR,0)),"")</f>
        <v/>
      </c>
      <c r="C55" s="196" t="str">
        <f>IFERROR(INDEX('FB 콘텐츠 data'!$A$1:$AH$25,MATCH('FB 신규발행'!$A55,'FB 콘텐츠 data'!$AR:$AR,0),MATCH(C$2,'FB 콘텐츠 data'!$A$1:$AH$1,0)),"")</f>
        <v/>
      </c>
      <c r="D55" s="197" t="str">
        <f>IFERROR(INDEX('FB 콘텐츠 data'!$A$1:$AH$25,MATCH('FB 신규발행'!$A55,'FB 콘텐츠 data'!$AR:$AR,0),MATCH(D$2,'FB 콘텐츠 data'!$A$1:$AH$1,0)),"")</f>
        <v/>
      </c>
      <c r="E55" s="197" t="str">
        <f>IFERROR(INDEX('FB 콘텐츠 data'!$A$1:$AH$25,MATCH('FB 신규발행'!$A55,'FB 콘텐츠 data'!$AR:$AR,0),MATCH(E$2,'FB 콘텐츠 data'!$A$1:$AH$1,0)),"")</f>
        <v/>
      </c>
      <c r="F55" s="197" t="str">
        <f>IFERROR(INDEX('FB 콘텐츠 data'!$A$1:$AH$25,MATCH('FB 신규발행'!$A55,'FB 콘텐츠 data'!$AR:$AR,0),MATCH(F$2,'FB 콘텐츠 data'!$A$1:$AH$1,0)),"")</f>
        <v/>
      </c>
      <c r="G55" s="197" t="str">
        <f>IFERROR(INDEX('FB 콘텐츠 data'!$A$1:$AH$25,MATCH('FB 신규발행'!$A55,'FB 콘텐츠 data'!$AR:$AR,0),MATCH(G$2,'FB 콘텐츠 data'!$A$1:$AH$1,0)),"")</f>
        <v/>
      </c>
      <c r="H55" s="197" t="str">
        <f t="shared" si="5"/>
        <v/>
      </c>
      <c r="I55" s="197" t="str">
        <f>IFERROR(INDEX('FB 콘텐츠 data'!$A$1:$AH$25,MATCH('FB 신규발행'!$A55,'FB 콘텐츠 data'!$AR:$AR,0),MATCH(I$2,'FB 콘텐츠 data'!$A$1:$AH$1,0)),"")</f>
        <v/>
      </c>
      <c r="J55" s="197" t="str">
        <f>IFERROR(INDEX('FB 콘텐츠 data'!$A$1:$AH$25,MATCH('FB 신규발행'!$A55,'FB 콘텐츠 data'!$AR:$AR,0),MATCH(J$2,'FB 콘텐츠 data'!$A$1:$AH$1,0)),"")</f>
        <v/>
      </c>
      <c r="K55" s="196" t="str">
        <f>IFERROR(INDEX('FB 콘텐츠 data'!$A$1:$AR$25,MATCH('FB 신규발행'!$A55,'FB 콘텐츠 data'!$AR:$AR,0),MATCH(K$2,'FB 콘텐츠 data'!$A$1:$AR$1,0)),"")</f>
        <v/>
      </c>
      <c r="L55" s="197" t="str">
        <f>IFERROR(INDEX('FB 콘텐츠 data'!$A$1:$AH$25,MATCH('FB 신규발행'!$A55,'FB 콘텐츠 data'!$AR:$AR,0),MATCH(L$2,'FB 콘텐츠 data'!$A$1:$AH$1,0)),"")</f>
        <v/>
      </c>
      <c r="M55" s="197" t="str">
        <f>IFERROR(INDEX('FB 콘텐츠 data'!$A$1:$AH$25,MATCH('FB 신규발행'!$A55,'FB 콘텐츠 data'!$AR:$AR,0),MATCH(M$2,'FB 콘텐츠 data'!$A$1:$AH$1,0)),"")</f>
        <v/>
      </c>
      <c r="N55" s="197" t="str">
        <f>IFERROR(INDEX('FB 콘텐츠 data'!$A$1:$AH$25,MATCH('FB 신규발행'!$A55,'FB 콘텐츠 data'!$AR:$AR,0),MATCH(N$2,'FB 콘텐츠 data'!$A$1:$AH$1,0)),"")</f>
        <v/>
      </c>
      <c r="O55" s="197" t="str">
        <f>IFERROR(INDEX('FB 콘텐츠 data'!$A$1:$AH$25,MATCH('FB 신규발행'!$A55,'FB 콘텐츠 data'!$AR:$AR,0),MATCH(O$2,'FB 콘텐츠 data'!$A$1:$AH$1,0)),"")</f>
        <v/>
      </c>
      <c r="P55" s="197" t="str">
        <f>IFERROR(INDEX('FB 콘텐츠 data'!$A$1:$AH$25,MATCH('FB 신규발행'!$A55,'FB 콘텐츠 data'!$AR:$AR,0),MATCH(P$2,'FB 콘텐츠 data'!$A$1:$AH$1,0)),"")</f>
        <v/>
      </c>
      <c r="Q55" s="197" t="str">
        <f>IFERROR(INDEX('FB 콘텐츠 data'!$A$1:$AH$25,MATCH('FB 신규발행'!$A55,'FB 콘텐츠 data'!$AR:$AR,0),MATCH(Q$2,'FB 콘텐츠 data'!$A$1:$AH$1,0)),"")</f>
        <v/>
      </c>
      <c r="R55" s="198" t="str">
        <f t="shared" si="6"/>
        <v/>
      </c>
      <c r="T55" s="125" t="str">
        <f t="shared" si="7"/>
        <v/>
      </c>
      <c r="U55" s="125" t="str">
        <f t="shared" si="8"/>
        <v/>
      </c>
      <c r="Y55" s="157"/>
    </row>
    <row r="56" spans="1:25" ht="17.45" customHeight="1">
      <c r="A56" s="156">
        <v>54</v>
      </c>
      <c r="B56" s="195" t="str">
        <f>IFERROR(INDEX('FB 콘텐츠 data'!AQ:AQ,MATCH('FB 신규발행'!A56,'FB 콘텐츠 data'!AR:AR,0)),"")</f>
        <v/>
      </c>
      <c r="C56" s="196" t="str">
        <f>IFERROR(INDEX('FB 콘텐츠 data'!$A$1:$AH$25,MATCH('FB 신규발행'!$A56,'FB 콘텐츠 data'!$AR:$AR,0),MATCH(C$2,'FB 콘텐츠 data'!$A$1:$AH$1,0)),"")</f>
        <v/>
      </c>
      <c r="D56" s="197" t="str">
        <f>IFERROR(INDEX('FB 콘텐츠 data'!$A$1:$AH$25,MATCH('FB 신규발행'!$A56,'FB 콘텐츠 data'!$AR:$AR,0),MATCH(D$2,'FB 콘텐츠 data'!$A$1:$AH$1,0)),"")</f>
        <v/>
      </c>
      <c r="E56" s="197" t="str">
        <f>IFERROR(INDEX('FB 콘텐츠 data'!$A$1:$AH$25,MATCH('FB 신규발행'!$A56,'FB 콘텐츠 data'!$AR:$AR,0),MATCH(E$2,'FB 콘텐츠 data'!$A$1:$AH$1,0)),"")</f>
        <v/>
      </c>
      <c r="F56" s="197" t="str">
        <f>IFERROR(INDEX('FB 콘텐츠 data'!$A$1:$AH$25,MATCH('FB 신규발행'!$A56,'FB 콘텐츠 data'!$AR:$AR,0),MATCH(F$2,'FB 콘텐츠 data'!$A$1:$AH$1,0)),"")</f>
        <v/>
      </c>
      <c r="G56" s="197" t="str">
        <f>IFERROR(INDEX('FB 콘텐츠 data'!$A$1:$AH$25,MATCH('FB 신규발행'!$A56,'FB 콘텐츠 data'!$AR:$AR,0),MATCH(G$2,'FB 콘텐츠 data'!$A$1:$AH$1,0)),"")</f>
        <v/>
      </c>
      <c r="H56" s="197" t="str">
        <f t="shared" si="5"/>
        <v/>
      </c>
      <c r="I56" s="197" t="str">
        <f>IFERROR(INDEX('FB 콘텐츠 data'!$A$1:$AH$25,MATCH('FB 신규발행'!$A56,'FB 콘텐츠 data'!$AR:$AR,0),MATCH(I$2,'FB 콘텐츠 data'!$A$1:$AH$1,0)),"")</f>
        <v/>
      </c>
      <c r="J56" s="197" t="str">
        <f>IFERROR(INDEX('FB 콘텐츠 data'!$A$1:$AH$25,MATCH('FB 신규발행'!$A56,'FB 콘텐츠 data'!$AR:$AR,0),MATCH(J$2,'FB 콘텐츠 data'!$A$1:$AH$1,0)),"")</f>
        <v/>
      </c>
      <c r="K56" s="196" t="str">
        <f>IFERROR(INDEX('FB 콘텐츠 data'!$A$1:$AR$25,MATCH('FB 신규발행'!$A56,'FB 콘텐츠 data'!$AR:$AR,0),MATCH(K$2,'FB 콘텐츠 data'!$A$1:$AR$1,0)),"")</f>
        <v/>
      </c>
      <c r="L56" s="197" t="str">
        <f>IFERROR(INDEX('FB 콘텐츠 data'!$A$1:$AH$25,MATCH('FB 신규발행'!$A56,'FB 콘텐츠 data'!$AR:$AR,0),MATCH(L$2,'FB 콘텐츠 data'!$A$1:$AH$1,0)),"")</f>
        <v/>
      </c>
      <c r="M56" s="197" t="str">
        <f>IFERROR(INDEX('FB 콘텐츠 data'!$A$1:$AH$25,MATCH('FB 신규발행'!$A56,'FB 콘텐츠 data'!$AR:$AR,0),MATCH(M$2,'FB 콘텐츠 data'!$A$1:$AH$1,0)),"")</f>
        <v/>
      </c>
      <c r="N56" s="197" t="str">
        <f>IFERROR(INDEX('FB 콘텐츠 data'!$A$1:$AH$25,MATCH('FB 신규발행'!$A56,'FB 콘텐츠 data'!$AR:$AR,0),MATCH(N$2,'FB 콘텐츠 data'!$A$1:$AH$1,0)),"")</f>
        <v/>
      </c>
      <c r="O56" s="197" t="str">
        <f>IFERROR(INDEX('FB 콘텐츠 data'!$A$1:$AH$25,MATCH('FB 신규발행'!$A56,'FB 콘텐츠 data'!$AR:$AR,0),MATCH(O$2,'FB 콘텐츠 data'!$A$1:$AH$1,0)),"")</f>
        <v/>
      </c>
      <c r="P56" s="197" t="str">
        <f>IFERROR(INDEX('FB 콘텐츠 data'!$A$1:$AH$25,MATCH('FB 신규발행'!$A56,'FB 콘텐츠 data'!$AR:$AR,0),MATCH(P$2,'FB 콘텐츠 data'!$A$1:$AH$1,0)),"")</f>
        <v/>
      </c>
      <c r="Q56" s="197" t="str">
        <f>IFERROR(INDEX('FB 콘텐츠 data'!$A$1:$AH$25,MATCH('FB 신규발행'!$A56,'FB 콘텐츠 data'!$AR:$AR,0),MATCH(Q$2,'FB 콘텐츠 data'!$A$1:$AH$1,0)),"")</f>
        <v/>
      </c>
      <c r="R56" s="198" t="str">
        <f t="shared" si="6"/>
        <v/>
      </c>
      <c r="T56" s="125" t="str">
        <f t="shared" si="7"/>
        <v/>
      </c>
      <c r="U56" s="125" t="str">
        <f t="shared" si="8"/>
        <v/>
      </c>
      <c r="Y56" s="157"/>
    </row>
    <row r="57" spans="1:25" ht="17.45" customHeight="1">
      <c r="A57" s="156">
        <v>55</v>
      </c>
      <c r="B57" s="195" t="str">
        <f>IFERROR(INDEX('FB 콘텐츠 data'!AQ:AQ,MATCH('FB 신규발행'!A57,'FB 콘텐츠 data'!AR:AR,0)),"")</f>
        <v/>
      </c>
      <c r="C57" s="196" t="str">
        <f>IFERROR(INDEX('FB 콘텐츠 data'!$A$1:$AH$25,MATCH('FB 신규발행'!$A57,'FB 콘텐츠 data'!$AR:$AR,0),MATCH(C$2,'FB 콘텐츠 data'!$A$1:$AH$1,0)),"")</f>
        <v/>
      </c>
      <c r="D57" s="197" t="str">
        <f>IFERROR(INDEX('FB 콘텐츠 data'!$A$1:$AH$25,MATCH('FB 신규발행'!$A57,'FB 콘텐츠 data'!$AR:$AR,0),MATCH(D$2,'FB 콘텐츠 data'!$A$1:$AH$1,0)),"")</f>
        <v/>
      </c>
      <c r="E57" s="197" t="str">
        <f>IFERROR(INDEX('FB 콘텐츠 data'!$A$1:$AH$25,MATCH('FB 신규발행'!$A57,'FB 콘텐츠 data'!$AR:$AR,0),MATCH(E$2,'FB 콘텐츠 data'!$A$1:$AH$1,0)),"")</f>
        <v/>
      </c>
      <c r="F57" s="197" t="str">
        <f>IFERROR(INDEX('FB 콘텐츠 data'!$A$1:$AH$25,MATCH('FB 신규발행'!$A57,'FB 콘텐츠 data'!$AR:$AR,0),MATCH(F$2,'FB 콘텐츠 data'!$A$1:$AH$1,0)),"")</f>
        <v/>
      </c>
      <c r="G57" s="197" t="str">
        <f>IFERROR(INDEX('FB 콘텐츠 data'!$A$1:$AH$25,MATCH('FB 신규발행'!$A57,'FB 콘텐츠 data'!$AR:$AR,0),MATCH(G$2,'FB 콘텐츠 data'!$A$1:$AH$1,0)),"")</f>
        <v/>
      </c>
      <c r="H57" s="197" t="str">
        <f t="shared" si="5"/>
        <v/>
      </c>
      <c r="I57" s="197" t="str">
        <f>IFERROR(INDEX('FB 콘텐츠 data'!$A$1:$AH$25,MATCH('FB 신규발행'!$A57,'FB 콘텐츠 data'!$AR:$AR,0),MATCH(I$2,'FB 콘텐츠 data'!$A$1:$AH$1,0)),"")</f>
        <v/>
      </c>
      <c r="J57" s="197" t="str">
        <f>IFERROR(INDEX('FB 콘텐츠 data'!$A$1:$AH$25,MATCH('FB 신규발행'!$A57,'FB 콘텐츠 data'!$AR:$AR,0),MATCH(J$2,'FB 콘텐츠 data'!$A$1:$AH$1,0)),"")</f>
        <v/>
      </c>
      <c r="K57" s="196" t="str">
        <f>IFERROR(INDEX('FB 콘텐츠 data'!$A$1:$AR$25,MATCH('FB 신규발행'!$A57,'FB 콘텐츠 data'!$AR:$AR,0),MATCH(K$2,'FB 콘텐츠 data'!$A$1:$AR$1,0)),"")</f>
        <v/>
      </c>
      <c r="L57" s="197" t="str">
        <f>IFERROR(INDEX('FB 콘텐츠 data'!$A$1:$AH$25,MATCH('FB 신규발행'!$A57,'FB 콘텐츠 data'!$AR:$AR,0),MATCH(L$2,'FB 콘텐츠 data'!$A$1:$AH$1,0)),"")</f>
        <v/>
      </c>
      <c r="M57" s="197" t="str">
        <f>IFERROR(INDEX('FB 콘텐츠 data'!$A$1:$AH$25,MATCH('FB 신규발행'!$A57,'FB 콘텐츠 data'!$AR:$AR,0),MATCH(M$2,'FB 콘텐츠 data'!$A$1:$AH$1,0)),"")</f>
        <v/>
      </c>
      <c r="N57" s="197" t="str">
        <f>IFERROR(INDEX('FB 콘텐츠 data'!$A$1:$AH$25,MATCH('FB 신규발행'!$A57,'FB 콘텐츠 data'!$AR:$AR,0),MATCH(N$2,'FB 콘텐츠 data'!$A$1:$AH$1,0)),"")</f>
        <v/>
      </c>
      <c r="O57" s="197" t="str">
        <f>IFERROR(INDEX('FB 콘텐츠 data'!$A$1:$AH$25,MATCH('FB 신규발행'!$A57,'FB 콘텐츠 data'!$AR:$AR,0),MATCH(O$2,'FB 콘텐츠 data'!$A$1:$AH$1,0)),"")</f>
        <v/>
      </c>
      <c r="P57" s="197" t="str">
        <f>IFERROR(INDEX('FB 콘텐츠 data'!$A$1:$AH$25,MATCH('FB 신규발행'!$A57,'FB 콘텐츠 data'!$AR:$AR,0),MATCH(P$2,'FB 콘텐츠 data'!$A$1:$AH$1,0)),"")</f>
        <v/>
      </c>
      <c r="Q57" s="197" t="str">
        <f>IFERROR(INDEX('FB 콘텐츠 data'!$A$1:$AH$25,MATCH('FB 신규발행'!$A57,'FB 콘텐츠 data'!$AR:$AR,0),MATCH(Q$2,'FB 콘텐츠 data'!$A$1:$AH$1,0)),"")</f>
        <v/>
      </c>
      <c r="R57" s="198" t="str">
        <f t="shared" si="6"/>
        <v/>
      </c>
      <c r="T57" s="125" t="str">
        <f t="shared" si="7"/>
        <v/>
      </c>
      <c r="U57" s="125" t="str">
        <f t="shared" si="8"/>
        <v/>
      </c>
      <c r="Y57" s="157"/>
    </row>
    <row r="58" spans="1:25" ht="17.45" customHeight="1">
      <c r="A58" s="156">
        <v>56</v>
      </c>
      <c r="B58" s="195" t="str">
        <f>IFERROR(INDEX('FB 콘텐츠 data'!AQ:AQ,MATCH('FB 신규발행'!A58,'FB 콘텐츠 data'!AR:AR,0)),"")</f>
        <v/>
      </c>
      <c r="C58" s="196" t="str">
        <f>IFERROR(INDEX('FB 콘텐츠 data'!$A$1:$AH$25,MATCH('FB 신규발행'!$A58,'FB 콘텐츠 data'!$AR:$AR,0),MATCH(C$2,'FB 콘텐츠 data'!$A$1:$AH$1,0)),"")</f>
        <v/>
      </c>
      <c r="D58" s="197" t="str">
        <f>IFERROR(INDEX('FB 콘텐츠 data'!$A$1:$AH$25,MATCH('FB 신규발행'!$A58,'FB 콘텐츠 data'!$AR:$AR,0),MATCH(D$2,'FB 콘텐츠 data'!$A$1:$AH$1,0)),"")</f>
        <v/>
      </c>
      <c r="E58" s="197" t="str">
        <f>IFERROR(INDEX('FB 콘텐츠 data'!$A$1:$AH$25,MATCH('FB 신규발행'!$A58,'FB 콘텐츠 data'!$AR:$AR,0),MATCH(E$2,'FB 콘텐츠 data'!$A$1:$AH$1,0)),"")</f>
        <v/>
      </c>
      <c r="F58" s="197" t="str">
        <f>IFERROR(INDEX('FB 콘텐츠 data'!$A$1:$AH$25,MATCH('FB 신규발행'!$A58,'FB 콘텐츠 data'!$AR:$AR,0),MATCH(F$2,'FB 콘텐츠 data'!$A$1:$AH$1,0)),"")</f>
        <v/>
      </c>
      <c r="G58" s="197" t="str">
        <f>IFERROR(INDEX('FB 콘텐츠 data'!$A$1:$AH$25,MATCH('FB 신규발행'!$A58,'FB 콘텐츠 data'!$AR:$AR,0),MATCH(G$2,'FB 콘텐츠 data'!$A$1:$AH$1,0)),"")</f>
        <v/>
      </c>
      <c r="H58" s="197" t="str">
        <f t="shared" si="5"/>
        <v/>
      </c>
      <c r="I58" s="197" t="str">
        <f>IFERROR(INDEX('FB 콘텐츠 data'!$A$1:$AH$25,MATCH('FB 신규발행'!$A58,'FB 콘텐츠 data'!$AR:$AR,0),MATCH(I$2,'FB 콘텐츠 data'!$A$1:$AH$1,0)),"")</f>
        <v/>
      </c>
      <c r="J58" s="197" t="str">
        <f>IFERROR(INDEX('FB 콘텐츠 data'!$A$1:$AH$25,MATCH('FB 신규발행'!$A58,'FB 콘텐츠 data'!$AR:$AR,0),MATCH(J$2,'FB 콘텐츠 data'!$A$1:$AH$1,0)),"")</f>
        <v/>
      </c>
      <c r="K58" s="196" t="str">
        <f>IFERROR(INDEX('FB 콘텐츠 data'!$A$1:$AR$25,MATCH('FB 신규발행'!$A58,'FB 콘텐츠 data'!$AR:$AR,0),MATCH(K$2,'FB 콘텐츠 data'!$A$1:$AR$1,0)),"")</f>
        <v/>
      </c>
      <c r="L58" s="197" t="str">
        <f>IFERROR(INDEX('FB 콘텐츠 data'!$A$1:$AH$25,MATCH('FB 신규발행'!$A58,'FB 콘텐츠 data'!$AR:$AR,0),MATCH(L$2,'FB 콘텐츠 data'!$A$1:$AH$1,0)),"")</f>
        <v/>
      </c>
      <c r="M58" s="197" t="str">
        <f>IFERROR(INDEX('FB 콘텐츠 data'!$A$1:$AH$25,MATCH('FB 신규발행'!$A58,'FB 콘텐츠 data'!$AR:$AR,0),MATCH(M$2,'FB 콘텐츠 data'!$A$1:$AH$1,0)),"")</f>
        <v/>
      </c>
      <c r="N58" s="197" t="str">
        <f>IFERROR(INDEX('FB 콘텐츠 data'!$A$1:$AH$25,MATCH('FB 신규발행'!$A58,'FB 콘텐츠 data'!$AR:$AR,0),MATCH(N$2,'FB 콘텐츠 data'!$A$1:$AH$1,0)),"")</f>
        <v/>
      </c>
      <c r="O58" s="197" t="str">
        <f>IFERROR(INDEX('FB 콘텐츠 data'!$A$1:$AH$25,MATCH('FB 신규발행'!$A58,'FB 콘텐츠 data'!$AR:$AR,0),MATCH(O$2,'FB 콘텐츠 data'!$A$1:$AH$1,0)),"")</f>
        <v/>
      </c>
      <c r="P58" s="197" t="str">
        <f>IFERROR(INDEX('FB 콘텐츠 data'!$A$1:$AH$25,MATCH('FB 신규발행'!$A58,'FB 콘텐츠 data'!$AR:$AR,0),MATCH(P$2,'FB 콘텐츠 data'!$A$1:$AH$1,0)),"")</f>
        <v/>
      </c>
      <c r="Q58" s="197" t="str">
        <f>IFERROR(INDEX('FB 콘텐츠 data'!$A$1:$AH$25,MATCH('FB 신규발행'!$A58,'FB 콘텐츠 data'!$AR:$AR,0),MATCH(Q$2,'FB 콘텐츠 data'!$A$1:$AH$1,0)),"")</f>
        <v/>
      </c>
      <c r="R58" s="198" t="str">
        <f t="shared" si="6"/>
        <v/>
      </c>
      <c r="T58" s="125" t="str">
        <f t="shared" si="7"/>
        <v/>
      </c>
      <c r="U58" s="125" t="str">
        <f t="shared" si="8"/>
        <v/>
      </c>
      <c r="Y58" s="157"/>
    </row>
    <row r="59" spans="1:25" ht="17.45" customHeight="1">
      <c r="A59" s="156">
        <v>57</v>
      </c>
      <c r="B59" s="195" t="str">
        <f>IFERROR(INDEX('FB 콘텐츠 data'!AQ:AQ,MATCH('FB 신규발행'!A59,'FB 콘텐츠 data'!AR:AR,0)),"")</f>
        <v/>
      </c>
      <c r="C59" s="196" t="str">
        <f>IFERROR(INDEX('FB 콘텐츠 data'!$A$1:$AH$25,MATCH('FB 신규발행'!$A59,'FB 콘텐츠 data'!$AR:$AR,0),MATCH(C$2,'FB 콘텐츠 data'!$A$1:$AH$1,0)),"")</f>
        <v/>
      </c>
      <c r="D59" s="197" t="str">
        <f>IFERROR(INDEX('FB 콘텐츠 data'!$A$1:$AH$25,MATCH('FB 신규발행'!$A59,'FB 콘텐츠 data'!$AR:$AR,0),MATCH(D$2,'FB 콘텐츠 data'!$A$1:$AH$1,0)),"")</f>
        <v/>
      </c>
      <c r="E59" s="197" t="str">
        <f>IFERROR(INDEX('FB 콘텐츠 data'!$A$1:$AH$25,MATCH('FB 신규발행'!$A59,'FB 콘텐츠 data'!$AR:$AR,0),MATCH(E$2,'FB 콘텐츠 data'!$A$1:$AH$1,0)),"")</f>
        <v/>
      </c>
      <c r="F59" s="197" t="str">
        <f>IFERROR(INDEX('FB 콘텐츠 data'!$A$1:$AH$25,MATCH('FB 신규발행'!$A59,'FB 콘텐츠 data'!$AR:$AR,0),MATCH(F$2,'FB 콘텐츠 data'!$A$1:$AH$1,0)),"")</f>
        <v/>
      </c>
      <c r="G59" s="197" t="str">
        <f>IFERROR(INDEX('FB 콘텐츠 data'!$A$1:$AH$25,MATCH('FB 신규발행'!$A59,'FB 콘텐츠 data'!$AR:$AR,0),MATCH(G$2,'FB 콘텐츠 data'!$A$1:$AH$1,0)),"")</f>
        <v/>
      </c>
      <c r="H59" s="197" t="str">
        <f t="shared" si="5"/>
        <v/>
      </c>
      <c r="I59" s="197" t="str">
        <f>IFERROR(INDEX('FB 콘텐츠 data'!$A$1:$AH$25,MATCH('FB 신규발행'!$A59,'FB 콘텐츠 data'!$AR:$AR,0),MATCH(I$2,'FB 콘텐츠 data'!$A$1:$AH$1,0)),"")</f>
        <v/>
      </c>
      <c r="J59" s="197" t="str">
        <f>IFERROR(INDEX('FB 콘텐츠 data'!$A$1:$AH$25,MATCH('FB 신규발행'!$A59,'FB 콘텐츠 data'!$AR:$AR,0),MATCH(J$2,'FB 콘텐츠 data'!$A$1:$AH$1,0)),"")</f>
        <v/>
      </c>
      <c r="K59" s="196" t="str">
        <f>IFERROR(INDEX('FB 콘텐츠 data'!$A$1:$AR$25,MATCH('FB 신규발행'!$A59,'FB 콘텐츠 data'!$AR:$AR,0),MATCH(K$2,'FB 콘텐츠 data'!$A$1:$AR$1,0)),"")</f>
        <v/>
      </c>
      <c r="L59" s="197" t="str">
        <f>IFERROR(INDEX('FB 콘텐츠 data'!$A$1:$AH$25,MATCH('FB 신규발행'!$A59,'FB 콘텐츠 data'!$AR:$AR,0),MATCH(L$2,'FB 콘텐츠 data'!$A$1:$AH$1,0)),"")</f>
        <v/>
      </c>
      <c r="M59" s="197" t="str">
        <f>IFERROR(INDEX('FB 콘텐츠 data'!$A$1:$AH$25,MATCH('FB 신규발행'!$A59,'FB 콘텐츠 data'!$AR:$AR,0),MATCH(M$2,'FB 콘텐츠 data'!$A$1:$AH$1,0)),"")</f>
        <v/>
      </c>
      <c r="N59" s="197" t="str">
        <f>IFERROR(INDEX('FB 콘텐츠 data'!$A$1:$AH$25,MATCH('FB 신규발행'!$A59,'FB 콘텐츠 data'!$AR:$AR,0),MATCH(N$2,'FB 콘텐츠 data'!$A$1:$AH$1,0)),"")</f>
        <v/>
      </c>
      <c r="O59" s="197" t="str">
        <f>IFERROR(INDEX('FB 콘텐츠 data'!$A$1:$AH$25,MATCH('FB 신규발행'!$A59,'FB 콘텐츠 data'!$AR:$AR,0),MATCH(O$2,'FB 콘텐츠 data'!$A$1:$AH$1,0)),"")</f>
        <v/>
      </c>
      <c r="P59" s="197" t="str">
        <f>IFERROR(INDEX('FB 콘텐츠 data'!$A$1:$AH$25,MATCH('FB 신규발행'!$A59,'FB 콘텐츠 data'!$AR:$AR,0),MATCH(P$2,'FB 콘텐츠 data'!$A$1:$AH$1,0)),"")</f>
        <v/>
      </c>
      <c r="Q59" s="197" t="str">
        <f>IFERROR(INDEX('FB 콘텐츠 data'!$A$1:$AH$25,MATCH('FB 신규발행'!$A59,'FB 콘텐츠 data'!$AR:$AR,0),MATCH(Q$2,'FB 콘텐츠 data'!$A$1:$AH$1,0)),"")</f>
        <v/>
      </c>
      <c r="R59" s="198" t="str">
        <f t="shared" si="6"/>
        <v/>
      </c>
      <c r="T59" s="125" t="str">
        <f t="shared" si="7"/>
        <v/>
      </c>
      <c r="U59" s="125" t="str">
        <f t="shared" si="8"/>
        <v/>
      </c>
      <c r="Y59" s="157"/>
    </row>
    <row r="60" spans="1:25" ht="17.45" customHeight="1">
      <c r="A60" s="156">
        <v>58</v>
      </c>
      <c r="B60" s="195" t="str">
        <f>IFERROR(INDEX('FB 콘텐츠 data'!AQ:AQ,MATCH('FB 신규발행'!A60,'FB 콘텐츠 data'!AR:AR,0)),"")</f>
        <v/>
      </c>
      <c r="C60" s="196" t="str">
        <f>IFERROR(INDEX('FB 콘텐츠 data'!$A$1:$AH$25,MATCH('FB 신규발행'!$A60,'FB 콘텐츠 data'!$AR:$AR,0),MATCH(C$2,'FB 콘텐츠 data'!$A$1:$AH$1,0)),"")</f>
        <v/>
      </c>
      <c r="D60" s="197" t="str">
        <f>IFERROR(INDEX('FB 콘텐츠 data'!$A$1:$AH$25,MATCH('FB 신규발행'!$A60,'FB 콘텐츠 data'!$AR:$AR,0),MATCH(D$2,'FB 콘텐츠 data'!$A$1:$AH$1,0)),"")</f>
        <v/>
      </c>
      <c r="E60" s="197" t="str">
        <f>IFERROR(INDEX('FB 콘텐츠 data'!$A$1:$AH$25,MATCH('FB 신규발행'!$A60,'FB 콘텐츠 data'!$AR:$AR,0),MATCH(E$2,'FB 콘텐츠 data'!$A$1:$AH$1,0)),"")</f>
        <v/>
      </c>
      <c r="F60" s="197" t="str">
        <f>IFERROR(INDEX('FB 콘텐츠 data'!$A$1:$AH$25,MATCH('FB 신규발행'!$A60,'FB 콘텐츠 data'!$AR:$AR,0),MATCH(F$2,'FB 콘텐츠 data'!$A$1:$AH$1,0)),"")</f>
        <v/>
      </c>
      <c r="G60" s="197" t="str">
        <f>IFERROR(INDEX('FB 콘텐츠 data'!$A$1:$AH$25,MATCH('FB 신규발행'!$A60,'FB 콘텐츠 data'!$AR:$AR,0),MATCH(G$2,'FB 콘텐츠 data'!$A$1:$AH$1,0)),"")</f>
        <v/>
      </c>
      <c r="H60" s="197" t="str">
        <f t="shared" si="5"/>
        <v/>
      </c>
      <c r="I60" s="197" t="str">
        <f>IFERROR(INDEX('FB 콘텐츠 data'!$A$1:$AH$25,MATCH('FB 신규발행'!$A60,'FB 콘텐츠 data'!$AR:$AR,0),MATCH(I$2,'FB 콘텐츠 data'!$A$1:$AH$1,0)),"")</f>
        <v/>
      </c>
      <c r="J60" s="197" t="str">
        <f>IFERROR(INDEX('FB 콘텐츠 data'!$A$1:$AH$25,MATCH('FB 신규발행'!$A60,'FB 콘텐츠 data'!$AR:$AR,0),MATCH(J$2,'FB 콘텐츠 data'!$A$1:$AH$1,0)),"")</f>
        <v/>
      </c>
      <c r="K60" s="196" t="str">
        <f>IFERROR(INDEX('FB 콘텐츠 data'!$A$1:$AR$25,MATCH('FB 신규발행'!$A60,'FB 콘텐츠 data'!$AR:$AR,0),MATCH(K$2,'FB 콘텐츠 data'!$A$1:$AR$1,0)),"")</f>
        <v/>
      </c>
      <c r="L60" s="197" t="str">
        <f>IFERROR(INDEX('FB 콘텐츠 data'!$A$1:$AH$25,MATCH('FB 신규발행'!$A60,'FB 콘텐츠 data'!$AR:$AR,0),MATCH(L$2,'FB 콘텐츠 data'!$A$1:$AH$1,0)),"")</f>
        <v/>
      </c>
      <c r="M60" s="197" t="str">
        <f>IFERROR(INDEX('FB 콘텐츠 data'!$A$1:$AH$25,MATCH('FB 신규발행'!$A60,'FB 콘텐츠 data'!$AR:$AR,0),MATCH(M$2,'FB 콘텐츠 data'!$A$1:$AH$1,0)),"")</f>
        <v/>
      </c>
      <c r="N60" s="197" t="str">
        <f>IFERROR(INDEX('FB 콘텐츠 data'!$A$1:$AH$25,MATCH('FB 신규발행'!$A60,'FB 콘텐츠 data'!$AR:$AR,0),MATCH(N$2,'FB 콘텐츠 data'!$A$1:$AH$1,0)),"")</f>
        <v/>
      </c>
      <c r="O60" s="197" t="str">
        <f>IFERROR(INDEX('FB 콘텐츠 data'!$A$1:$AH$25,MATCH('FB 신규발행'!$A60,'FB 콘텐츠 data'!$AR:$AR,0),MATCH(O$2,'FB 콘텐츠 data'!$A$1:$AH$1,0)),"")</f>
        <v/>
      </c>
      <c r="P60" s="197" t="str">
        <f>IFERROR(INDEX('FB 콘텐츠 data'!$A$1:$AH$25,MATCH('FB 신규발행'!$A60,'FB 콘텐츠 data'!$AR:$AR,0),MATCH(P$2,'FB 콘텐츠 data'!$A$1:$AH$1,0)),"")</f>
        <v/>
      </c>
      <c r="Q60" s="197" t="str">
        <f>IFERROR(INDEX('FB 콘텐츠 data'!$A$1:$AH$25,MATCH('FB 신규발행'!$A60,'FB 콘텐츠 data'!$AR:$AR,0),MATCH(Q$2,'FB 콘텐츠 data'!$A$1:$AH$1,0)),"")</f>
        <v/>
      </c>
      <c r="R60" s="198" t="str">
        <f t="shared" si="6"/>
        <v/>
      </c>
      <c r="T60" s="125" t="str">
        <f t="shared" si="7"/>
        <v/>
      </c>
      <c r="U60" s="125" t="str">
        <f t="shared" si="8"/>
        <v/>
      </c>
      <c r="Y60" s="157"/>
    </row>
    <row r="61" spans="1:25" ht="17.45" customHeight="1">
      <c r="A61" s="156">
        <v>59</v>
      </c>
      <c r="B61" s="195" t="str">
        <f>IFERROR(INDEX('FB 콘텐츠 data'!AQ:AQ,MATCH('FB 신규발행'!A61,'FB 콘텐츠 data'!AR:AR,0)),"")</f>
        <v/>
      </c>
      <c r="C61" s="196" t="str">
        <f>IFERROR(INDEX('FB 콘텐츠 data'!$A$1:$AH$25,MATCH('FB 신규발행'!$A61,'FB 콘텐츠 data'!$AR:$AR,0),MATCH(C$2,'FB 콘텐츠 data'!$A$1:$AH$1,0)),"")</f>
        <v/>
      </c>
      <c r="D61" s="197" t="str">
        <f>IFERROR(INDEX('FB 콘텐츠 data'!$A$1:$AH$25,MATCH('FB 신규발행'!$A61,'FB 콘텐츠 data'!$AR:$AR,0),MATCH(D$2,'FB 콘텐츠 data'!$A$1:$AH$1,0)),"")</f>
        <v/>
      </c>
      <c r="E61" s="197" t="str">
        <f>IFERROR(INDEX('FB 콘텐츠 data'!$A$1:$AH$25,MATCH('FB 신규발행'!$A61,'FB 콘텐츠 data'!$AR:$AR,0),MATCH(E$2,'FB 콘텐츠 data'!$A$1:$AH$1,0)),"")</f>
        <v/>
      </c>
      <c r="F61" s="197" t="str">
        <f>IFERROR(INDEX('FB 콘텐츠 data'!$A$1:$AH$25,MATCH('FB 신규발행'!$A61,'FB 콘텐츠 data'!$AR:$AR,0),MATCH(F$2,'FB 콘텐츠 data'!$A$1:$AH$1,0)),"")</f>
        <v/>
      </c>
      <c r="G61" s="197" t="str">
        <f>IFERROR(INDEX('FB 콘텐츠 data'!$A$1:$AH$25,MATCH('FB 신규발행'!$A61,'FB 콘텐츠 data'!$AR:$AR,0),MATCH(G$2,'FB 콘텐츠 data'!$A$1:$AH$1,0)),"")</f>
        <v/>
      </c>
      <c r="H61" s="197" t="str">
        <f t="shared" si="5"/>
        <v/>
      </c>
      <c r="I61" s="197" t="str">
        <f>IFERROR(INDEX('FB 콘텐츠 data'!$A$1:$AH$25,MATCH('FB 신규발행'!$A61,'FB 콘텐츠 data'!$AR:$AR,0),MATCH(I$2,'FB 콘텐츠 data'!$A$1:$AH$1,0)),"")</f>
        <v/>
      </c>
      <c r="J61" s="197" t="str">
        <f>IFERROR(INDEX('FB 콘텐츠 data'!$A$1:$AH$25,MATCH('FB 신규발행'!$A61,'FB 콘텐츠 data'!$AR:$AR,0),MATCH(J$2,'FB 콘텐츠 data'!$A$1:$AH$1,0)),"")</f>
        <v/>
      </c>
      <c r="K61" s="196" t="str">
        <f>IFERROR(INDEX('FB 콘텐츠 data'!$A$1:$AR$25,MATCH('FB 신규발행'!$A61,'FB 콘텐츠 data'!$AR:$AR,0),MATCH(K$2,'FB 콘텐츠 data'!$A$1:$AR$1,0)),"")</f>
        <v/>
      </c>
      <c r="L61" s="197" t="str">
        <f>IFERROR(INDEX('FB 콘텐츠 data'!$A$1:$AH$25,MATCH('FB 신규발행'!$A61,'FB 콘텐츠 data'!$AR:$AR,0),MATCH(L$2,'FB 콘텐츠 data'!$A$1:$AH$1,0)),"")</f>
        <v/>
      </c>
      <c r="M61" s="197" t="str">
        <f>IFERROR(INDEX('FB 콘텐츠 data'!$A$1:$AH$25,MATCH('FB 신규발행'!$A61,'FB 콘텐츠 data'!$AR:$AR,0),MATCH(M$2,'FB 콘텐츠 data'!$A$1:$AH$1,0)),"")</f>
        <v/>
      </c>
      <c r="N61" s="197" t="str">
        <f>IFERROR(INDEX('FB 콘텐츠 data'!$A$1:$AH$25,MATCH('FB 신규발행'!$A61,'FB 콘텐츠 data'!$AR:$AR,0),MATCH(N$2,'FB 콘텐츠 data'!$A$1:$AH$1,0)),"")</f>
        <v/>
      </c>
      <c r="O61" s="197" t="str">
        <f>IFERROR(INDEX('FB 콘텐츠 data'!$A$1:$AH$25,MATCH('FB 신규발행'!$A61,'FB 콘텐츠 data'!$AR:$AR,0),MATCH(O$2,'FB 콘텐츠 data'!$A$1:$AH$1,0)),"")</f>
        <v/>
      </c>
      <c r="P61" s="197" t="str">
        <f>IFERROR(INDEX('FB 콘텐츠 data'!$A$1:$AH$25,MATCH('FB 신규발행'!$A61,'FB 콘텐츠 data'!$AR:$AR,0),MATCH(P$2,'FB 콘텐츠 data'!$A$1:$AH$1,0)),"")</f>
        <v/>
      </c>
      <c r="Q61" s="197" t="str">
        <f>IFERROR(INDEX('FB 콘텐츠 data'!$A$1:$AH$25,MATCH('FB 신규발행'!$A61,'FB 콘텐츠 data'!$AR:$AR,0),MATCH(Q$2,'FB 콘텐츠 data'!$A$1:$AH$1,0)),"")</f>
        <v/>
      </c>
      <c r="R61" s="198" t="str">
        <f t="shared" si="6"/>
        <v/>
      </c>
      <c r="T61" s="125" t="str">
        <f t="shared" si="7"/>
        <v/>
      </c>
      <c r="U61" s="125" t="str">
        <f t="shared" si="8"/>
        <v/>
      </c>
      <c r="Y61" s="157"/>
    </row>
    <row r="62" spans="1:25" ht="17.45" customHeight="1">
      <c r="A62" s="156">
        <v>60</v>
      </c>
      <c r="B62" s="195" t="str">
        <f>IFERROR(INDEX('FB 콘텐츠 data'!AQ:AQ,MATCH('FB 신규발행'!A62,'FB 콘텐츠 data'!AR:AR,0)),"")</f>
        <v/>
      </c>
      <c r="C62" s="196" t="str">
        <f>IFERROR(INDEX('FB 콘텐츠 data'!$A$1:$AH$25,MATCH('FB 신규발행'!$A62,'FB 콘텐츠 data'!$AR:$AR,0),MATCH(C$2,'FB 콘텐츠 data'!$A$1:$AH$1,0)),"")</f>
        <v/>
      </c>
      <c r="D62" s="197" t="str">
        <f>IFERROR(INDEX('FB 콘텐츠 data'!$A$1:$AH$25,MATCH('FB 신규발행'!$A62,'FB 콘텐츠 data'!$AR:$AR,0),MATCH(D$2,'FB 콘텐츠 data'!$A$1:$AH$1,0)),"")</f>
        <v/>
      </c>
      <c r="E62" s="197" t="str">
        <f>IFERROR(INDEX('FB 콘텐츠 data'!$A$1:$AH$25,MATCH('FB 신규발행'!$A62,'FB 콘텐츠 data'!$AR:$AR,0),MATCH(E$2,'FB 콘텐츠 data'!$A$1:$AH$1,0)),"")</f>
        <v/>
      </c>
      <c r="F62" s="197" t="str">
        <f>IFERROR(INDEX('FB 콘텐츠 data'!$A$1:$AH$25,MATCH('FB 신규발행'!$A62,'FB 콘텐츠 data'!$AR:$AR,0),MATCH(F$2,'FB 콘텐츠 data'!$A$1:$AH$1,0)),"")</f>
        <v/>
      </c>
      <c r="G62" s="197" t="str">
        <f>IFERROR(INDEX('FB 콘텐츠 data'!$A$1:$AH$25,MATCH('FB 신규발행'!$A62,'FB 콘텐츠 data'!$AR:$AR,0),MATCH(G$2,'FB 콘텐츠 data'!$A$1:$AH$1,0)),"")</f>
        <v/>
      </c>
      <c r="H62" s="197" t="str">
        <f t="shared" si="5"/>
        <v/>
      </c>
      <c r="I62" s="197" t="str">
        <f>IFERROR(INDEX('FB 콘텐츠 data'!$A$1:$AH$25,MATCH('FB 신규발행'!$A62,'FB 콘텐츠 data'!$AR:$AR,0),MATCH(I$2,'FB 콘텐츠 data'!$A$1:$AH$1,0)),"")</f>
        <v/>
      </c>
      <c r="J62" s="197" t="str">
        <f>IFERROR(INDEX('FB 콘텐츠 data'!$A$1:$AH$25,MATCH('FB 신규발행'!$A62,'FB 콘텐츠 data'!$AR:$AR,0),MATCH(J$2,'FB 콘텐츠 data'!$A$1:$AH$1,0)),"")</f>
        <v/>
      </c>
      <c r="K62" s="196" t="str">
        <f>IFERROR(INDEX('FB 콘텐츠 data'!$A$1:$AR$25,MATCH('FB 신규발행'!$A62,'FB 콘텐츠 data'!$AR:$AR,0),MATCH(K$2,'FB 콘텐츠 data'!$A$1:$AR$1,0)),"")</f>
        <v/>
      </c>
      <c r="L62" s="197" t="str">
        <f>IFERROR(INDEX('FB 콘텐츠 data'!$A$1:$AH$25,MATCH('FB 신규발행'!$A62,'FB 콘텐츠 data'!$AR:$AR,0),MATCH(L$2,'FB 콘텐츠 data'!$A$1:$AH$1,0)),"")</f>
        <v/>
      </c>
      <c r="M62" s="197" t="str">
        <f>IFERROR(INDEX('FB 콘텐츠 data'!$A$1:$AH$25,MATCH('FB 신규발행'!$A62,'FB 콘텐츠 data'!$AR:$AR,0),MATCH(M$2,'FB 콘텐츠 data'!$A$1:$AH$1,0)),"")</f>
        <v/>
      </c>
      <c r="N62" s="197" t="str">
        <f>IFERROR(INDEX('FB 콘텐츠 data'!$A$1:$AH$25,MATCH('FB 신규발행'!$A62,'FB 콘텐츠 data'!$AR:$AR,0),MATCH(N$2,'FB 콘텐츠 data'!$A$1:$AH$1,0)),"")</f>
        <v/>
      </c>
      <c r="O62" s="197" t="str">
        <f>IFERROR(INDEX('FB 콘텐츠 data'!$A$1:$AH$25,MATCH('FB 신규발행'!$A62,'FB 콘텐츠 data'!$AR:$AR,0),MATCH(O$2,'FB 콘텐츠 data'!$A$1:$AH$1,0)),"")</f>
        <v/>
      </c>
      <c r="P62" s="197" t="str">
        <f>IFERROR(INDEX('FB 콘텐츠 data'!$A$1:$AH$25,MATCH('FB 신규발행'!$A62,'FB 콘텐츠 data'!$AR:$AR,0),MATCH(P$2,'FB 콘텐츠 data'!$A$1:$AH$1,0)),"")</f>
        <v/>
      </c>
      <c r="Q62" s="197" t="str">
        <f>IFERROR(INDEX('FB 콘텐츠 data'!$A$1:$AH$25,MATCH('FB 신규발행'!$A62,'FB 콘텐츠 data'!$AR:$AR,0),MATCH(Q$2,'FB 콘텐츠 data'!$A$1:$AH$1,0)),"")</f>
        <v/>
      </c>
      <c r="R62" s="198" t="str">
        <f t="shared" si="6"/>
        <v/>
      </c>
      <c r="T62" s="125" t="str">
        <f t="shared" si="7"/>
        <v/>
      </c>
      <c r="U62" s="125" t="str">
        <f t="shared" si="8"/>
        <v/>
      </c>
      <c r="Y62" s="157"/>
    </row>
    <row r="63" spans="1:25" ht="17.45" customHeight="1">
      <c r="A63" s="156">
        <v>61</v>
      </c>
      <c r="B63" s="195" t="str">
        <f>IFERROR(INDEX('FB 콘텐츠 data'!AQ:AQ,MATCH('FB 신규발행'!A63,'FB 콘텐츠 data'!AR:AR,0)),"")</f>
        <v/>
      </c>
      <c r="C63" s="196" t="str">
        <f>IFERROR(INDEX('FB 콘텐츠 data'!$A$1:$AH$25,MATCH('FB 신규발행'!$A63,'FB 콘텐츠 data'!$AR:$AR,0),MATCH(C$2,'FB 콘텐츠 data'!$A$1:$AH$1,0)),"")</f>
        <v/>
      </c>
      <c r="D63" s="197" t="str">
        <f>IFERROR(INDEX('FB 콘텐츠 data'!$A$1:$AH$25,MATCH('FB 신규발행'!$A63,'FB 콘텐츠 data'!$AR:$AR,0),MATCH(D$2,'FB 콘텐츠 data'!$A$1:$AH$1,0)),"")</f>
        <v/>
      </c>
      <c r="E63" s="197" t="str">
        <f>IFERROR(INDEX('FB 콘텐츠 data'!$A$1:$AH$25,MATCH('FB 신규발행'!$A63,'FB 콘텐츠 data'!$AR:$AR,0),MATCH(E$2,'FB 콘텐츠 data'!$A$1:$AH$1,0)),"")</f>
        <v/>
      </c>
      <c r="F63" s="197" t="str">
        <f>IFERROR(INDEX('FB 콘텐츠 data'!$A$1:$AH$25,MATCH('FB 신규발행'!$A63,'FB 콘텐츠 data'!$AR:$AR,0),MATCH(F$2,'FB 콘텐츠 data'!$A$1:$AH$1,0)),"")</f>
        <v/>
      </c>
      <c r="G63" s="197" t="str">
        <f>IFERROR(INDEX('FB 콘텐츠 data'!$A$1:$AH$25,MATCH('FB 신규발행'!$A63,'FB 콘텐츠 data'!$AR:$AR,0),MATCH(G$2,'FB 콘텐츠 data'!$A$1:$AH$1,0)),"")</f>
        <v/>
      </c>
      <c r="H63" s="197" t="str">
        <f t="shared" si="5"/>
        <v/>
      </c>
      <c r="I63" s="197" t="str">
        <f>IFERROR(INDEX('FB 콘텐츠 data'!$A$1:$AH$25,MATCH('FB 신규발행'!$A63,'FB 콘텐츠 data'!$AR:$AR,0),MATCH(I$2,'FB 콘텐츠 data'!$A$1:$AH$1,0)),"")</f>
        <v/>
      </c>
      <c r="J63" s="197" t="str">
        <f>IFERROR(INDEX('FB 콘텐츠 data'!$A$1:$AH$25,MATCH('FB 신규발행'!$A63,'FB 콘텐츠 data'!$AR:$AR,0),MATCH(J$2,'FB 콘텐츠 data'!$A$1:$AH$1,0)),"")</f>
        <v/>
      </c>
      <c r="K63" s="196" t="str">
        <f>IFERROR(INDEX('FB 콘텐츠 data'!$A$1:$AR$25,MATCH('FB 신규발행'!$A63,'FB 콘텐츠 data'!$AR:$AR,0),MATCH(K$2,'FB 콘텐츠 data'!$A$1:$AR$1,0)),"")</f>
        <v/>
      </c>
      <c r="L63" s="197" t="str">
        <f>IFERROR(INDEX('FB 콘텐츠 data'!$A$1:$AH$25,MATCH('FB 신규발행'!$A63,'FB 콘텐츠 data'!$AR:$AR,0),MATCH(L$2,'FB 콘텐츠 data'!$A$1:$AH$1,0)),"")</f>
        <v/>
      </c>
      <c r="M63" s="197" t="str">
        <f>IFERROR(INDEX('FB 콘텐츠 data'!$A$1:$AH$25,MATCH('FB 신규발행'!$A63,'FB 콘텐츠 data'!$AR:$AR,0),MATCH(M$2,'FB 콘텐츠 data'!$A$1:$AH$1,0)),"")</f>
        <v/>
      </c>
      <c r="N63" s="197" t="str">
        <f>IFERROR(INDEX('FB 콘텐츠 data'!$A$1:$AH$25,MATCH('FB 신규발행'!$A63,'FB 콘텐츠 data'!$AR:$AR,0),MATCH(N$2,'FB 콘텐츠 data'!$A$1:$AH$1,0)),"")</f>
        <v/>
      </c>
      <c r="O63" s="197" t="str">
        <f>IFERROR(INDEX('FB 콘텐츠 data'!$A$1:$AH$25,MATCH('FB 신규발행'!$A63,'FB 콘텐츠 data'!$AR:$AR,0),MATCH(O$2,'FB 콘텐츠 data'!$A$1:$AH$1,0)),"")</f>
        <v/>
      </c>
      <c r="P63" s="197" t="str">
        <f>IFERROR(INDEX('FB 콘텐츠 data'!$A$1:$AH$25,MATCH('FB 신규발행'!$A63,'FB 콘텐츠 data'!$AR:$AR,0),MATCH(P$2,'FB 콘텐츠 data'!$A$1:$AH$1,0)),"")</f>
        <v/>
      </c>
      <c r="Q63" s="197" t="str">
        <f>IFERROR(INDEX('FB 콘텐츠 data'!$A$1:$AH$25,MATCH('FB 신규발행'!$A63,'FB 콘텐츠 data'!$AR:$AR,0),MATCH(Q$2,'FB 콘텐츠 data'!$A$1:$AH$1,0)),"")</f>
        <v/>
      </c>
      <c r="R63" s="198" t="str">
        <f t="shared" si="6"/>
        <v/>
      </c>
      <c r="T63" s="125" t="str">
        <f t="shared" si="7"/>
        <v/>
      </c>
      <c r="U63" s="125" t="str">
        <f t="shared" si="8"/>
        <v/>
      </c>
      <c r="Y63" s="157"/>
    </row>
    <row r="64" spans="1:25" ht="17.45" customHeight="1">
      <c r="A64" s="156">
        <v>62</v>
      </c>
      <c r="B64" s="195" t="str">
        <f>IFERROR(INDEX('FB 콘텐츠 data'!AQ:AQ,MATCH('FB 신규발행'!A64,'FB 콘텐츠 data'!AR:AR,0)),"")</f>
        <v/>
      </c>
      <c r="C64" s="196" t="str">
        <f>IFERROR(INDEX('FB 콘텐츠 data'!$A$1:$AH$25,MATCH('FB 신규발행'!$A64,'FB 콘텐츠 data'!$AR:$AR,0),MATCH(C$2,'FB 콘텐츠 data'!$A$1:$AH$1,0)),"")</f>
        <v/>
      </c>
      <c r="D64" s="197" t="str">
        <f>IFERROR(INDEX('FB 콘텐츠 data'!$A$1:$AH$25,MATCH('FB 신규발행'!$A64,'FB 콘텐츠 data'!$AR:$AR,0),MATCH(D$2,'FB 콘텐츠 data'!$A$1:$AH$1,0)),"")</f>
        <v/>
      </c>
      <c r="E64" s="197" t="str">
        <f>IFERROR(INDEX('FB 콘텐츠 data'!$A$1:$AH$25,MATCH('FB 신규발행'!$A64,'FB 콘텐츠 data'!$AR:$AR,0),MATCH(E$2,'FB 콘텐츠 data'!$A$1:$AH$1,0)),"")</f>
        <v/>
      </c>
      <c r="F64" s="197" t="str">
        <f>IFERROR(INDEX('FB 콘텐츠 data'!$A$1:$AH$25,MATCH('FB 신규발행'!$A64,'FB 콘텐츠 data'!$AR:$AR,0),MATCH(F$2,'FB 콘텐츠 data'!$A$1:$AH$1,0)),"")</f>
        <v/>
      </c>
      <c r="G64" s="197" t="str">
        <f>IFERROR(INDEX('FB 콘텐츠 data'!$A$1:$AH$25,MATCH('FB 신규발행'!$A64,'FB 콘텐츠 data'!$AR:$AR,0),MATCH(G$2,'FB 콘텐츠 data'!$A$1:$AH$1,0)),"")</f>
        <v/>
      </c>
      <c r="H64" s="197" t="str">
        <f t="shared" si="5"/>
        <v/>
      </c>
      <c r="I64" s="197" t="str">
        <f>IFERROR(INDEX('FB 콘텐츠 data'!$A$1:$AH$25,MATCH('FB 신규발행'!$A64,'FB 콘텐츠 data'!$AR:$AR,0),MATCH(I$2,'FB 콘텐츠 data'!$A$1:$AH$1,0)),"")</f>
        <v/>
      </c>
      <c r="J64" s="197" t="str">
        <f>IFERROR(INDEX('FB 콘텐츠 data'!$A$1:$AH$25,MATCH('FB 신규발행'!$A64,'FB 콘텐츠 data'!$AR:$AR,0),MATCH(J$2,'FB 콘텐츠 data'!$A$1:$AH$1,0)),"")</f>
        <v/>
      </c>
      <c r="K64" s="196" t="str">
        <f>IFERROR(INDEX('FB 콘텐츠 data'!$A$1:$AR$25,MATCH('FB 신규발행'!$A64,'FB 콘텐츠 data'!$AR:$AR,0),MATCH(K$2,'FB 콘텐츠 data'!$A$1:$AR$1,0)),"")</f>
        <v/>
      </c>
      <c r="L64" s="197" t="str">
        <f>IFERROR(INDEX('FB 콘텐츠 data'!$A$1:$AH$25,MATCH('FB 신규발행'!$A64,'FB 콘텐츠 data'!$AR:$AR,0),MATCH(L$2,'FB 콘텐츠 data'!$A$1:$AH$1,0)),"")</f>
        <v/>
      </c>
      <c r="M64" s="197" t="str">
        <f>IFERROR(INDEX('FB 콘텐츠 data'!$A$1:$AH$25,MATCH('FB 신규발행'!$A64,'FB 콘텐츠 data'!$AR:$AR,0),MATCH(M$2,'FB 콘텐츠 data'!$A$1:$AH$1,0)),"")</f>
        <v/>
      </c>
      <c r="N64" s="197" t="str">
        <f>IFERROR(INDEX('FB 콘텐츠 data'!$A$1:$AH$25,MATCH('FB 신규발행'!$A64,'FB 콘텐츠 data'!$AR:$AR,0),MATCH(N$2,'FB 콘텐츠 data'!$A$1:$AH$1,0)),"")</f>
        <v/>
      </c>
      <c r="O64" s="197" t="str">
        <f>IFERROR(INDEX('FB 콘텐츠 data'!$A$1:$AH$25,MATCH('FB 신규발행'!$A64,'FB 콘텐츠 data'!$AR:$AR,0),MATCH(O$2,'FB 콘텐츠 data'!$A$1:$AH$1,0)),"")</f>
        <v/>
      </c>
      <c r="P64" s="197" t="str">
        <f>IFERROR(INDEX('FB 콘텐츠 data'!$A$1:$AH$25,MATCH('FB 신규발행'!$A64,'FB 콘텐츠 data'!$AR:$AR,0),MATCH(P$2,'FB 콘텐츠 data'!$A$1:$AH$1,0)),"")</f>
        <v/>
      </c>
      <c r="Q64" s="197" t="str">
        <f>IFERROR(INDEX('FB 콘텐츠 data'!$A$1:$AH$25,MATCH('FB 신규발행'!$A64,'FB 콘텐츠 data'!$AR:$AR,0),MATCH(Q$2,'FB 콘텐츠 data'!$A$1:$AH$1,0)),"")</f>
        <v/>
      </c>
      <c r="R64" s="198" t="str">
        <f t="shared" si="6"/>
        <v/>
      </c>
      <c r="T64" s="125" t="str">
        <f t="shared" si="7"/>
        <v/>
      </c>
      <c r="U64" s="125" t="str">
        <f t="shared" si="8"/>
        <v/>
      </c>
      <c r="Y64" s="157"/>
    </row>
    <row r="65" spans="1:25" ht="17.45" customHeight="1">
      <c r="A65" s="156">
        <v>63</v>
      </c>
      <c r="B65" s="195" t="str">
        <f>IFERROR(INDEX('FB 콘텐츠 data'!AQ:AQ,MATCH('FB 신규발행'!A65,'FB 콘텐츠 data'!AR:AR,0)),"")</f>
        <v/>
      </c>
      <c r="C65" s="196" t="str">
        <f>IFERROR(INDEX('FB 콘텐츠 data'!$A$1:$AH$25,MATCH('FB 신규발행'!$A65,'FB 콘텐츠 data'!$AR:$AR,0),MATCH(C$2,'FB 콘텐츠 data'!$A$1:$AH$1,0)),"")</f>
        <v/>
      </c>
      <c r="D65" s="197" t="str">
        <f>IFERROR(INDEX('FB 콘텐츠 data'!$A$1:$AH$25,MATCH('FB 신규발행'!$A65,'FB 콘텐츠 data'!$AR:$AR,0),MATCH(D$2,'FB 콘텐츠 data'!$A$1:$AH$1,0)),"")</f>
        <v/>
      </c>
      <c r="E65" s="197" t="str">
        <f>IFERROR(INDEX('FB 콘텐츠 data'!$A$1:$AH$25,MATCH('FB 신규발행'!$A65,'FB 콘텐츠 data'!$AR:$AR,0),MATCH(E$2,'FB 콘텐츠 data'!$A$1:$AH$1,0)),"")</f>
        <v/>
      </c>
      <c r="F65" s="197" t="str">
        <f>IFERROR(INDEX('FB 콘텐츠 data'!$A$1:$AH$25,MATCH('FB 신규발행'!$A65,'FB 콘텐츠 data'!$AR:$AR,0),MATCH(F$2,'FB 콘텐츠 data'!$A$1:$AH$1,0)),"")</f>
        <v/>
      </c>
      <c r="G65" s="197" t="str">
        <f>IFERROR(INDEX('FB 콘텐츠 data'!$A$1:$AH$25,MATCH('FB 신규발행'!$A65,'FB 콘텐츠 data'!$AR:$AR,0),MATCH(G$2,'FB 콘텐츠 data'!$A$1:$AH$1,0)),"")</f>
        <v/>
      </c>
      <c r="H65" s="197" t="str">
        <f t="shared" si="5"/>
        <v/>
      </c>
      <c r="I65" s="197" t="str">
        <f>IFERROR(INDEX('FB 콘텐츠 data'!$A$1:$AH$25,MATCH('FB 신규발행'!$A65,'FB 콘텐츠 data'!$AR:$AR,0),MATCH(I$2,'FB 콘텐츠 data'!$A$1:$AH$1,0)),"")</f>
        <v/>
      </c>
      <c r="J65" s="197" t="str">
        <f>IFERROR(INDEX('FB 콘텐츠 data'!$A$1:$AH$25,MATCH('FB 신규발행'!$A65,'FB 콘텐츠 data'!$AR:$AR,0),MATCH(J$2,'FB 콘텐츠 data'!$A$1:$AH$1,0)),"")</f>
        <v/>
      </c>
      <c r="K65" s="196" t="str">
        <f>IFERROR(INDEX('FB 콘텐츠 data'!$A$1:$AR$25,MATCH('FB 신규발행'!$A65,'FB 콘텐츠 data'!$AR:$AR,0),MATCH(K$2,'FB 콘텐츠 data'!$A$1:$AR$1,0)),"")</f>
        <v/>
      </c>
      <c r="L65" s="197" t="str">
        <f>IFERROR(INDEX('FB 콘텐츠 data'!$A$1:$AH$25,MATCH('FB 신규발행'!$A65,'FB 콘텐츠 data'!$AR:$AR,0),MATCH(L$2,'FB 콘텐츠 data'!$A$1:$AH$1,0)),"")</f>
        <v/>
      </c>
      <c r="M65" s="197" t="str">
        <f>IFERROR(INDEX('FB 콘텐츠 data'!$A$1:$AH$25,MATCH('FB 신규발행'!$A65,'FB 콘텐츠 data'!$AR:$AR,0),MATCH(M$2,'FB 콘텐츠 data'!$A$1:$AH$1,0)),"")</f>
        <v/>
      </c>
      <c r="N65" s="197" t="str">
        <f>IFERROR(INDEX('FB 콘텐츠 data'!$A$1:$AH$25,MATCH('FB 신규발행'!$A65,'FB 콘텐츠 data'!$AR:$AR,0),MATCH(N$2,'FB 콘텐츠 data'!$A$1:$AH$1,0)),"")</f>
        <v/>
      </c>
      <c r="O65" s="197" t="str">
        <f>IFERROR(INDEX('FB 콘텐츠 data'!$A$1:$AH$25,MATCH('FB 신규발행'!$A65,'FB 콘텐츠 data'!$AR:$AR,0),MATCH(O$2,'FB 콘텐츠 data'!$A$1:$AH$1,0)),"")</f>
        <v/>
      </c>
      <c r="P65" s="197" t="str">
        <f>IFERROR(INDEX('FB 콘텐츠 data'!$A$1:$AH$25,MATCH('FB 신규발행'!$A65,'FB 콘텐츠 data'!$AR:$AR,0),MATCH(P$2,'FB 콘텐츠 data'!$A$1:$AH$1,0)),"")</f>
        <v/>
      </c>
      <c r="Q65" s="197" t="str">
        <f>IFERROR(INDEX('FB 콘텐츠 data'!$A$1:$AH$25,MATCH('FB 신규발행'!$A65,'FB 콘텐츠 data'!$AR:$AR,0),MATCH(Q$2,'FB 콘텐츠 data'!$A$1:$AH$1,0)),"")</f>
        <v/>
      </c>
      <c r="R65" s="198" t="str">
        <f t="shared" si="6"/>
        <v/>
      </c>
      <c r="T65" s="125" t="str">
        <f t="shared" si="7"/>
        <v/>
      </c>
      <c r="U65" s="125" t="str">
        <f t="shared" si="8"/>
        <v/>
      </c>
      <c r="Y65" s="157"/>
    </row>
    <row r="66" spans="1:25" ht="17.45" customHeight="1">
      <c r="A66" s="156">
        <v>64</v>
      </c>
      <c r="B66" s="195" t="str">
        <f>IFERROR(INDEX('FB 콘텐츠 data'!AQ:AQ,MATCH('FB 신규발행'!A66,'FB 콘텐츠 data'!AR:AR,0)),"")</f>
        <v/>
      </c>
      <c r="C66" s="196" t="str">
        <f>IFERROR(INDEX('FB 콘텐츠 data'!$A$1:$AH$25,MATCH('FB 신규발행'!$A66,'FB 콘텐츠 data'!$AR:$AR,0),MATCH(C$2,'FB 콘텐츠 data'!$A$1:$AH$1,0)),"")</f>
        <v/>
      </c>
      <c r="D66" s="197" t="str">
        <f>IFERROR(INDEX('FB 콘텐츠 data'!$A$1:$AH$25,MATCH('FB 신규발행'!$A66,'FB 콘텐츠 data'!$AR:$AR,0),MATCH(D$2,'FB 콘텐츠 data'!$A$1:$AH$1,0)),"")</f>
        <v/>
      </c>
      <c r="E66" s="197" t="str">
        <f>IFERROR(INDEX('FB 콘텐츠 data'!$A$1:$AH$25,MATCH('FB 신규발행'!$A66,'FB 콘텐츠 data'!$AR:$AR,0),MATCH(E$2,'FB 콘텐츠 data'!$A$1:$AH$1,0)),"")</f>
        <v/>
      </c>
      <c r="F66" s="197" t="str">
        <f>IFERROR(INDEX('FB 콘텐츠 data'!$A$1:$AH$25,MATCH('FB 신규발행'!$A66,'FB 콘텐츠 data'!$AR:$AR,0),MATCH(F$2,'FB 콘텐츠 data'!$A$1:$AH$1,0)),"")</f>
        <v/>
      </c>
      <c r="G66" s="197" t="str">
        <f>IFERROR(INDEX('FB 콘텐츠 data'!$A$1:$AH$25,MATCH('FB 신규발행'!$A66,'FB 콘텐츠 data'!$AR:$AR,0),MATCH(G$2,'FB 콘텐츠 data'!$A$1:$AH$1,0)),"")</f>
        <v/>
      </c>
      <c r="H66" s="197" t="str">
        <f t="shared" si="5"/>
        <v/>
      </c>
      <c r="I66" s="197" t="str">
        <f>IFERROR(INDEX('FB 콘텐츠 data'!$A$1:$AH$25,MATCH('FB 신규발행'!$A66,'FB 콘텐츠 data'!$AR:$AR,0),MATCH(I$2,'FB 콘텐츠 data'!$A$1:$AH$1,0)),"")</f>
        <v/>
      </c>
      <c r="J66" s="197" t="str">
        <f>IFERROR(INDEX('FB 콘텐츠 data'!$A$1:$AH$25,MATCH('FB 신규발행'!$A66,'FB 콘텐츠 data'!$AR:$AR,0),MATCH(J$2,'FB 콘텐츠 data'!$A$1:$AH$1,0)),"")</f>
        <v/>
      </c>
      <c r="K66" s="196" t="str">
        <f>IFERROR(INDEX('FB 콘텐츠 data'!$A$1:$AR$25,MATCH('FB 신규발행'!$A66,'FB 콘텐츠 data'!$AR:$AR,0),MATCH(K$2,'FB 콘텐츠 data'!$A$1:$AR$1,0)),"")</f>
        <v/>
      </c>
      <c r="L66" s="197" t="str">
        <f>IFERROR(INDEX('FB 콘텐츠 data'!$A$1:$AH$25,MATCH('FB 신규발행'!$A66,'FB 콘텐츠 data'!$AR:$AR,0),MATCH(L$2,'FB 콘텐츠 data'!$A$1:$AH$1,0)),"")</f>
        <v/>
      </c>
      <c r="M66" s="197" t="str">
        <f>IFERROR(INDEX('FB 콘텐츠 data'!$A$1:$AH$25,MATCH('FB 신규발행'!$A66,'FB 콘텐츠 data'!$AR:$AR,0),MATCH(M$2,'FB 콘텐츠 data'!$A$1:$AH$1,0)),"")</f>
        <v/>
      </c>
      <c r="N66" s="197" t="str">
        <f>IFERROR(INDEX('FB 콘텐츠 data'!$A$1:$AH$25,MATCH('FB 신규발행'!$A66,'FB 콘텐츠 data'!$AR:$AR,0),MATCH(N$2,'FB 콘텐츠 data'!$A$1:$AH$1,0)),"")</f>
        <v/>
      </c>
      <c r="O66" s="197" t="str">
        <f>IFERROR(INDEX('FB 콘텐츠 data'!$A$1:$AH$25,MATCH('FB 신규발행'!$A66,'FB 콘텐츠 data'!$AR:$AR,0),MATCH(O$2,'FB 콘텐츠 data'!$A$1:$AH$1,0)),"")</f>
        <v/>
      </c>
      <c r="P66" s="197" t="str">
        <f>IFERROR(INDEX('FB 콘텐츠 data'!$A$1:$AH$25,MATCH('FB 신규발행'!$A66,'FB 콘텐츠 data'!$AR:$AR,0),MATCH(P$2,'FB 콘텐츠 data'!$A$1:$AH$1,0)),"")</f>
        <v/>
      </c>
      <c r="Q66" s="197" t="str">
        <f>IFERROR(INDEX('FB 콘텐츠 data'!$A$1:$AH$25,MATCH('FB 신규발행'!$A66,'FB 콘텐츠 data'!$AR:$AR,0),MATCH(Q$2,'FB 콘텐츠 data'!$A$1:$AH$1,0)),"")</f>
        <v/>
      </c>
      <c r="R66" s="198" t="str">
        <f t="shared" si="6"/>
        <v/>
      </c>
      <c r="T66" s="125" t="str">
        <f t="shared" si="7"/>
        <v/>
      </c>
      <c r="U66" s="125" t="str">
        <f t="shared" si="8"/>
        <v/>
      </c>
      <c r="Y66" s="157"/>
    </row>
    <row r="67" spans="1:25" ht="17.45" customHeight="1">
      <c r="A67" s="156">
        <v>65</v>
      </c>
      <c r="B67" s="195" t="str">
        <f>IFERROR(INDEX('FB 콘텐츠 data'!AQ:AQ,MATCH('FB 신규발행'!A67,'FB 콘텐츠 data'!AR:AR,0)),"")</f>
        <v/>
      </c>
      <c r="C67" s="196" t="str">
        <f>IFERROR(INDEX('FB 콘텐츠 data'!$A$1:$AH$25,MATCH('FB 신규발행'!$A67,'FB 콘텐츠 data'!$AR:$AR,0),MATCH(C$2,'FB 콘텐츠 data'!$A$1:$AH$1,0)),"")</f>
        <v/>
      </c>
      <c r="D67" s="197" t="str">
        <f>IFERROR(INDEX('FB 콘텐츠 data'!$A$1:$AH$25,MATCH('FB 신규발행'!$A67,'FB 콘텐츠 data'!$AR:$AR,0),MATCH(D$2,'FB 콘텐츠 data'!$A$1:$AH$1,0)),"")</f>
        <v/>
      </c>
      <c r="E67" s="197" t="str">
        <f>IFERROR(INDEX('FB 콘텐츠 data'!$A$1:$AH$25,MATCH('FB 신규발행'!$A67,'FB 콘텐츠 data'!$AR:$AR,0),MATCH(E$2,'FB 콘텐츠 data'!$A$1:$AH$1,0)),"")</f>
        <v/>
      </c>
      <c r="F67" s="197" t="str">
        <f>IFERROR(INDEX('FB 콘텐츠 data'!$A$1:$AH$25,MATCH('FB 신규발행'!$A67,'FB 콘텐츠 data'!$AR:$AR,0),MATCH(F$2,'FB 콘텐츠 data'!$A$1:$AH$1,0)),"")</f>
        <v/>
      </c>
      <c r="G67" s="197" t="str">
        <f>IFERROR(INDEX('FB 콘텐츠 data'!$A$1:$AH$25,MATCH('FB 신규발행'!$A67,'FB 콘텐츠 data'!$AR:$AR,0),MATCH(G$2,'FB 콘텐츠 data'!$A$1:$AH$1,0)),"")</f>
        <v/>
      </c>
      <c r="H67" s="197" t="str">
        <f t="shared" ref="H67:H82" si="9">IF(B67="","",I67+J67+O67+Q67)</f>
        <v/>
      </c>
      <c r="I67" s="197" t="str">
        <f>IFERROR(INDEX('FB 콘텐츠 data'!$A$1:$AH$25,MATCH('FB 신규발행'!$A67,'FB 콘텐츠 data'!$AR:$AR,0),MATCH(I$2,'FB 콘텐츠 data'!$A$1:$AH$1,0)),"")</f>
        <v/>
      </c>
      <c r="J67" s="197" t="str">
        <f>IFERROR(INDEX('FB 콘텐츠 data'!$A$1:$AH$25,MATCH('FB 신규발행'!$A67,'FB 콘텐츠 data'!$AR:$AR,0),MATCH(J$2,'FB 콘텐츠 data'!$A$1:$AH$1,0)),"")</f>
        <v/>
      </c>
      <c r="K67" s="196" t="str">
        <f>IFERROR(INDEX('FB 콘텐츠 data'!$A$1:$AR$25,MATCH('FB 신규발행'!$A67,'FB 콘텐츠 data'!$AR:$AR,0),MATCH(K$2,'FB 콘텐츠 data'!$A$1:$AR$1,0)),"")</f>
        <v/>
      </c>
      <c r="L67" s="197" t="str">
        <f>IFERROR(INDEX('FB 콘텐츠 data'!$A$1:$AH$25,MATCH('FB 신규발행'!$A67,'FB 콘텐츠 data'!$AR:$AR,0),MATCH(L$2,'FB 콘텐츠 data'!$A$1:$AH$1,0)),"")</f>
        <v/>
      </c>
      <c r="M67" s="197" t="str">
        <f>IFERROR(INDEX('FB 콘텐츠 data'!$A$1:$AH$25,MATCH('FB 신규발행'!$A67,'FB 콘텐츠 data'!$AR:$AR,0),MATCH(M$2,'FB 콘텐츠 data'!$A$1:$AH$1,0)),"")</f>
        <v/>
      </c>
      <c r="N67" s="197" t="str">
        <f>IFERROR(INDEX('FB 콘텐츠 data'!$A$1:$AH$25,MATCH('FB 신규발행'!$A67,'FB 콘텐츠 data'!$AR:$AR,0),MATCH(N$2,'FB 콘텐츠 data'!$A$1:$AH$1,0)),"")</f>
        <v/>
      </c>
      <c r="O67" s="197" t="str">
        <f>IFERROR(INDEX('FB 콘텐츠 data'!$A$1:$AH$25,MATCH('FB 신규발행'!$A67,'FB 콘텐츠 data'!$AR:$AR,0),MATCH(O$2,'FB 콘텐츠 data'!$A$1:$AH$1,0)),"")</f>
        <v/>
      </c>
      <c r="P67" s="197" t="str">
        <f>IFERROR(INDEX('FB 콘텐츠 data'!$A$1:$AH$25,MATCH('FB 신규발행'!$A67,'FB 콘텐츠 data'!$AR:$AR,0),MATCH(P$2,'FB 콘텐츠 data'!$A$1:$AH$1,0)),"")</f>
        <v/>
      </c>
      <c r="Q67" s="197" t="str">
        <f>IFERROR(INDEX('FB 콘텐츠 data'!$A$1:$AH$25,MATCH('FB 신규발행'!$A67,'FB 콘텐츠 data'!$AR:$AR,0),MATCH(Q$2,'FB 콘텐츠 data'!$A$1:$AH$1,0)),"")</f>
        <v/>
      </c>
      <c r="R67" s="198" t="str">
        <f t="shared" ref="R67:R82" si="10">IFERROR(H67/F67,"")</f>
        <v/>
      </c>
      <c r="T67" s="125" t="str">
        <f t="shared" ref="T67:T82" si="11">IFERROR(RANK(R67,$R$3:$R$82,0),"")</f>
        <v/>
      </c>
      <c r="U67" s="125" t="str">
        <f t="shared" ref="U67:U82" si="12">IFERROR(RANK(E67,$E$3:$E$82,0),"")</f>
        <v/>
      </c>
      <c r="Y67" s="157"/>
    </row>
    <row r="68" spans="1:25" ht="17.45" customHeight="1">
      <c r="A68" s="156">
        <v>66</v>
      </c>
      <c r="B68" s="195" t="str">
        <f>IFERROR(INDEX('FB 콘텐츠 data'!AQ:AQ,MATCH('FB 신규발행'!A68,'FB 콘텐츠 data'!AR:AR,0)),"")</f>
        <v/>
      </c>
      <c r="C68" s="196" t="str">
        <f>IFERROR(INDEX('FB 콘텐츠 data'!$A$1:$AH$25,MATCH('FB 신규발행'!$A68,'FB 콘텐츠 data'!$AR:$AR,0),MATCH(C$2,'FB 콘텐츠 data'!$A$1:$AH$1,0)),"")</f>
        <v/>
      </c>
      <c r="D68" s="197" t="str">
        <f>IFERROR(INDEX('FB 콘텐츠 data'!$A$1:$AH$25,MATCH('FB 신규발행'!$A68,'FB 콘텐츠 data'!$AR:$AR,0),MATCH(D$2,'FB 콘텐츠 data'!$A$1:$AH$1,0)),"")</f>
        <v/>
      </c>
      <c r="E68" s="197" t="str">
        <f>IFERROR(INDEX('FB 콘텐츠 data'!$A$1:$AH$25,MATCH('FB 신규발행'!$A68,'FB 콘텐츠 data'!$AR:$AR,0),MATCH(E$2,'FB 콘텐츠 data'!$A$1:$AH$1,0)),"")</f>
        <v/>
      </c>
      <c r="F68" s="197" t="str">
        <f>IFERROR(INDEX('FB 콘텐츠 data'!$A$1:$AH$25,MATCH('FB 신규발행'!$A68,'FB 콘텐츠 data'!$AR:$AR,0),MATCH(F$2,'FB 콘텐츠 data'!$A$1:$AH$1,0)),"")</f>
        <v/>
      </c>
      <c r="G68" s="197" t="str">
        <f>IFERROR(INDEX('FB 콘텐츠 data'!$A$1:$AH$25,MATCH('FB 신규발행'!$A68,'FB 콘텐츠 data'!$AR:$AR,0),MATCH(G$2,'FB 콘텐츠 data'!$A$1:$AH$1,0)),"")</f>
        <v/>
      </c>
      <c r="H68" s="197" t="str">
        <f t="shared" si="9"/>
        <v/>
      </c>
      <c r="I68" s="197" t="str">
        <f>IFERROR(INDEX('FB 콘텐츠 data'!$A$1:$AH$25,MATCH('FB 신규발행'!$A68,'FB 콘텐츠 data'!$AR:$AR,0),MATCH(I$2,'FB 콘텐츠 data'!$A$1:$AH$1,0)),"")</f>
        <v/>
      </c>
      <c r="J68" s="197" t="str">
        <f>IFERROR(INDEX('FB 콘텐츠 data'!$A$1:$AH$25,MATCH('FB 신규발행'!$A68,'FB 콘텐츠 data'!$AR:$AR,0),MATCH(J$2,'FB 콘텐츠 data'!$A$1:$AH$1,0)),"")</f>
        <v/>
      </c>
      <c r="K68" s="196" t="str">
        <f>IFERROR(INDEX('FB 콘텐츠 data'!$A$1:$AR$25,MATCH('FB 신규발행'!$A68,'FB 콘텐츠 data'!$AR:$AR,0),MATCH(K$2,'FB 콘텐츠 data'!$A$1:$AR$1,0)),"")</f>
        <v/>
      </c>
      <c r="L68" s="197" t="str">
        <f>IFERROR(INDEX('FB 콘텐츠 data'!$A$1:$AH$25,MATCH('FB 신규발행'!$A68,'FB 콘텐츠 data'!$AR:$AR,0),MATCH(L$2,'FB 콘텐츠 data'!$A$1:$AH$1,0)),"")</f>
        <v/>
      </c>
      <c r="M68" s="197" t="str">
        <f>IFERROR(INDEX('FB 콘텐츠 data'!$A$1:$AH$25,MATCH('FB 신규발행'!$A68,'FB 콘텐츠 data'!$AR:$AR,0),MATCH(M$2,'FB 콘텐츠 data'!$A$1:$AH$1,0)),"")</f>
        <v/>
      </c>
      <c r="N68" s="197" t="str">
        <f>IFERROR(INDEX('FB 콘텐츠 data'!$A$1:$AH$25,MATCH('FB 신규발행'!$A68,'FB 콘텐츠 data'!$AR:$AR,0),MATCH(N$2,'FB 콘텐츠 data'!$A$1:$AH$1,0)),"")</f>
        <v/>
      </c>
      <c r="O68" s="197" t="str">
        <f>IFERROR(INDEX('FB 콘텐츠 data'!$A$1:$AH$25,MATCH('FB 신규발행'!$A68,'FB 콘텐츠 data'!$AR:$AR,0),MATCH(O$2,'FB 콘텐츠 data'!$A$1:$AH$1,0)),"")</f>
        <v/>
      </c>
      <c r="P68" s="197" t="str">
        <f>IFERROR(INDEX('FB 콘텐츠 data'!$A$1:$AH$25,MATCH('FB 신규발행'!$A68,'FB 콘텐츠 data'!$AR:$AR,0),MATCH(P$2,'FB 콘텐츠 data'!$A$1:$AH$1,0)),"")</f>
        <v/>
      </c>
      <c r="Q68" s="197" t="str">
        <f>IFERROR(INDEX('FB 콘텐츠 data'!$A$1:$AH$25,MATCH('FB 신규발행'!$A68,'FB 콘텐츠 data'!$AR:$AR,0),MATCH(Q$2,'FB 콘텐츠 data'!$A$1:$AH$1,0)),"")</f>
        <v/>
      </c>
      <c r="R68" s="198" t="str">
        <f t="shared" si="10"/>
        <v/>
      </c>
      <c r="T68" s="125" t="str">
        <f t="shared" si="11"/>
        <v/>
      </c>
      <c r="U68" s="125" t="str">
        <f t="shared" si="12"/>
        <v/>
      </c>
      <c r="Y68" s="157"/>
    </row>
    <row r="69" spans="1:25" ht="17.45" customHeight="1">
      <c r="A69" s="156">
        <v>67</v>
      </c>
      <c r="B69" s="195" t="str">
        <f>IFERROR(INDEX('FB 콘텐츠 data'!AQ:AQ,MATCH('FB 신규발행'!A69,'FB 콘텐츠 data'!AR:AR,0)),"")</f>
        <v/>
      </c>
      <c r="C69" s="196" t="str">
        <f>IFERROR(INDEX('FB 콘텐츠 data'!$A$1:$AH$25,MATCH('FB 신규발행'!$A69,'FB 콘텐츠 data'!$AR:$AR,0),MATCH(C$2,'FB 콘텐츠 data'!$A$1:$AH$1,0)),"")</f>
        <v/>
      </c>
      <c r="D69" s="197" t="str">
        <f>IFERROR(INDEX('FB 콘텐츠 data'!$A$1:$AH$25,MATCH('FB 신규발행'!$A69,'FB 콘텐츠 data'!$AR:$AR,0),MATCH(D$2,'FB 콘텐츠 data'!$A$1:$AH$1,0)),"")</f>
        <v/>
      </c>
      <c r="E69" s="197" t="str">
        <f>IFERROR(INDEX('FB 콘텐츠 data'!$A$1:$AH$25,MATCH('FB 신규발행'!$A69,'FB 콘텐츠 data'!$AR:$AR,0),MATCH(E$2,'FB 콘텐츠 data'!$A$1:$AH$1,0)),"")</f>
        <v/>
      </c>
      <c r="F69" s="197" t="str">
        <f>IFERROR(INDEX('FB 콘텐츠 data'!$A$1:$AH$25,MATCH('FB 신규발행'!$A69,'FB 콘텐츠 data'!$AR:$AR,0),MATCH(F$2,'FB 콘텐츠 data'!$A$1:$AH$1,0)),"")</f>
        <v/>
      </c>
      <c r="G69" s="197" t="str">
        <f>IFERROR(INDEX('FB 콘텐츠 data'!$A$1:$AH$25,MATCH('FB 신규발행'!$A69,'FB 콘텐츠 data'!$AR:$AR,0),MATCH(G$2,'FB 콘텐츠 data'!$A$1:$AH$1,0)),"")</f>
        <v/>
      </c>
      <c r="H69" s="197" t="str">
        <f t="shared" si="9"/>
        <v/>
      </c>
      <c r="I69" s="197" t="str">
        <f>IFERROR(INDEX('FB 콘텐츠 data'!$A$1:$AH$25,MATCH('FB 신규발행'!$A69,'FB 콘텐츠 data'!$AR:$AR,0),MATCH(I$2,'FB 콘텐츠 data'!$A$1:$AH$1,0)),"")</f>
        <v/>
      </c>
      <c r="J69" s="197" t="str">
        <f>IFERROR(INDEX('FB 콘텐츠 data'!$A$1:$AH$25,MATCH('FB 신규발행'!$A69,'FB 콘텐츠 data'!$AR:$AR,0),MATCH(J$2,'FB 콘텐츠 data'!$A$1:$AH$1,0)),"")</f>
        <v/>
      </c>
      <c r="K69" s="196" t="str">
        <f>IFERROR(INDEX('FB 콘텐츠 data'!$A$1:$AR$25,MATCH('FB 신규발행'!$A69,'FB 콘텐츠 data'!$AR:$AR,0),MATCH(K$2,'FB 콘텐츠 data'!$A$1:$AR$1,0)),"")</f>
        <v/>
      </c>
      <c r="L69" s="197" t="str">
        <f>IFERROR(INDEX('FB 콘텐츠 data'!$A$1:$AH$25,MATCH('FB 신규발행'!$A69,'FB 콘텐츠 data'!$AR:$AR,0),MATCH(L$2,'FB 콘텐츠 data'!$A$1:$AH$1,0)),"")</f>
        <v/>
      </c>
      <c r="M69" s="197" t="str">
        <f>IFERROR(INDEX('FB 콘텐츠 data'!$A$1:$AH$25,MATCH('FB 신규발행'!$A69,'FB 콘텐츠 data'!$AR:$AR,0),MATCH(M$2,'FB 콘텐츠 data'!$A$1:$AH$1,0)),"")</f>
        <v/>
      </c>
      <c r="N69" s="197" t="str">
        <f>IFERROR(INDEX('FB 콘텐츠 data'!$A$1:$AH$25,MATCH('FB 신규발행'!$A69,'FB 콘텐츠 data'!$AR:$AR,0),MATCH(N$2,'FB 콘텐츠 data'!$A$1:$AH$1,0)),"")</f>
        <v/>
      </c>
      <c r="O69" s="197" t="str">
        <f>IFERROR(INDEX('FB 콘텐츠 data'!$A$1:$AH$25,MATCH('FB 신규발행'!$A69,'FB 콘텐츠 data'!$AR:$AR,0),MATCH(O$2,'FB 콘텐츠 data'!$A$1:$AH$1,0)),"")</f>
        <v/>
      </c>
      <c r="P69" s="197" t="str">
        <f>IFERROR(INDEX('FB 콘텐츠 data'!$A$1:$AH$25,MATCH('FB 신규발행'!$A69,'FB 콘텐츠 data'!$AR:$AR,0),MATCH(P$2,'FB 콘텐츠 data'!$A$1:$AH$1,0)),"")</f>
        <v/>
      </c>
      <c r="Q69" s="197" t="str">
        <f>IFERROR(INDEX('FB 콘텐츠 data'!$A$1:$AH$25,MATCH('FB 신규발행'!$A69,'FB 콘텐츠 data'!$AR:$AR,0),MATCH(Q$2,'FB 콘텐츠 data'!$A$1:$AH$1,0)),"")</f>
        <v/>
      </c>
      <c r="R69" s="198" t="str">
        <f t="shared" si="10"/>
        <v/>
      </c>
      <c r="T69" s="125" t="str">
        <f t="shared" si="11"/>
        <v/>
      </c>
      <c r="U69" s="125" t="str">
        <f t="shared" si="12"/>
        <v/>
      </c>
      <c r="Y69" s="157"/>
    </row>
    <row r="70" spans="1:25" ht="17.45" customHeight="1">
      <c r="A70" s="156">
        <v>68</v>
      </c>
      <c r="B70" s="195" t="str">
        <f>IFERROR(INDEX('FB 콘텐츠 data'!AQ:AQ,MATCH('FB 신규발행'!A70,'FB 콘텐츠 data'!AR:AR,0)),"")</f>
        <v/>
      </c>
      <c r="C70" s="196" t="str">
        <f>IFERROR(INDEX('FB 콘텐츠 data'!$A$1:$AH$25,MATCH('FB 신규발행'!$A70,'FB 콘텐츠 data'!$AR:$AR,0),MATCH(C$2,'FB 콘텐츠 data'!$A$1:$AH$1,0)),"")</f>
        <v/>
      </c>
      <c r="D70" s="197" t="str">
        <f>IFERROR(INDEX('FB 콘텐츠 data'!$A$1:$AH$25,MATCH('FB 신규발행'!$A70,'FB 콘텐츠 data'!$AR:$AR,0),MATCH(D$2,'FB 콘텐츠 data'!$A$1:$AH$1,0)),"")</f>
        <v/>
      </c>
      <c r="E70" s="197" t="str">
        <f>IFERROR(INDEX('FB 콘텐츠 data'!$A$1:$AH$25,MATCH('FB 신규발행'!$A70,'FB 콘텐츠 data'!$AR:$AR,0),MATCH(E$2,'FB 콘텐츠 data'!$A$1:$AH$1,0)),"")</f>
        <v/>
      </c>
      <c r="F70" s="197" t="str">
        <f>IFERROR(INDEX('FB 콘텐츠 data'!$A$1:$AH$25,MATCH('FB 신규발행'!$A70,'FB 콘텐츠 data'!$AR:$AR,0),MATCH(F$2,'FB 콘텐츠 data'!$A$1:$AH$1,0)),"")</f>
        <v/>
      </c>
      <c r="G70" s="197" t="str">
        <f>IFERROR(INDEX('FB 콘텐츠 data'!$A$1:$AH$25,MATCH('FB 신규발행'!$A70,'FB 콘텐츠 data'!$AR:$AR,0),MATCH(G$2,'FB 콘텐츠 data'!$A$1:$AH$1,0)),"")</f>
        <v/>
      </c>
      <c r="H70" s="197" t="str">
        <f t="shared" si="9"/>
        <v/>
      </c>
      <c r="I70" s="197" t="str">
        <f>IFERROR(INDEX('FB 콘텐츠 data'!$A$1:$AH$25,MATCH('FB 신규발행'!$A70,'FB 콘텐츠 data'!$AR:$AR,0),MATCH(I$2,'FB 콘텐츠 data'!$A$1:$AH$1,0)),"")</f>
        <v/>
      </c>
      <c r="J70" s="197" t="str">
        <f>IFERROR(INDEX('FB 콘텐츠 data'!$A$1:$AH$25,MATCH('FB 신규발행'!$A70,'FB 콘텐츠 data'!$AR:$AR,0),MATCH(J$2,'FB 콘텐츠 data'!$A$1:$AH$1,0)),"")</f>
        <v/>
      </c>
      <c r="K70" s="196" t="str">
        <f>IFERROR(INDEX('FB 콘텐츠 data'!$A$1:$AR$25,MATCH('FB 신규발행'!$A70,'FB 콘텐츠 data'!$AR:$AR,0),MATCH(K$2,'FB 콘텐츠 data'!$A$1:$AR$1,0)),"")</f>
        <v/>
      </c>
      <c r="L70" s="197" t="str">
        <f>IFERROR(INDEX('FB 콘텐츠 data'!$A$1:$AH$25,MATCH('FB 신규발행'!$A70,'FB 콘텐츠 data'!$AR:$AR,0),MATCH(L$2,'FB 콘텐츠 data'!$A$1:$AH$1,0)),"")</f>
        <v/>
      </c>
      <c r="M70" s="197" t="str">
        <f>IFERROR(INDEX('FB 콘텐츠 data'!$A$1:$AH$25,MATCH('FB 신규발행'!$A70,'FB 콘텐츠 data'!$AR:$AR,0),MATCH(M$2,'FB 콘텐츠 data'!$A$1:$AH$1,0)),"")</f>
        <v/>
      </c>
      <c r="N70" s="197" t="str">
        <f>IFERROR(INDEX('FB 콘텐츠 data'!$A$1:$AH$25,MATCH('FB 신규발행'!$A70,'FB 콘텐츠 data'!$AR:$AR,0),MATCH(N$2,'FB 콘텐츠 data'!$A$1:$AH$1,0)),"")</f>
        <v/>
      </c>
      <c r="O70" s="197" t="str">
        <f>IFERROR(INDEX('FB 콘텐츠 data'!$A$1:$AH$25,MATCH('FB 신규발행'!$A70,'FB 콘텐츠 data'!$AR:$AR,0),MATCH(O$2,'FB 콘텐츠 data'!$A$1:$AH$1,0)),"")</f>
        <v/>
      </c>
      <c r="P70" s="197" t="str">
        <f>IFERROR(INDEX('FB 콘텐츠 data'!$A$1:$AH$25,MATCH('FB 신규발행'!$A70,'FB 콘텐츠 data'!$AR:$AR,0),MATCH(P$2,'FB 콘텐츠 data'!$A$1:$AH$1,0)),"")</f>
        <v/>
      </c>
      <c r="Q70" s="197" t="str">
        <f>IFERROR(INDEX('FB 콘텐츠 data'!$A$1:$AH$25,MATCH('FB 신규발행'!$A70,'FB 콘텐츠 data'!$AR:$AR,0),MATCH(Q$2,'FB 콘텐츠 data'!$A$1:$AH$1,0)),"")</f>
        <v/>
      </c>
      <c r="R70" s="198" t="str">
        <f t="shared" si="10"/>
        <v/>
      </c>
      <c r="T70" s="125" t="str">
        <f t="shared" si="11"/>
        <v/>
      </c>
      <c r="U70" s="125" t="str">
        <f t="shared" si="12"/>
        <v/>
      </c>
      <c r="Y70" s="157"/>
    </row>
    <row r="71" spans="1:25" ht="17.45" customHeight="1">
      <c r="A71" s="156">
        <v>69</v>
      </c>
      <c r="B71" s="195" t="str">
        <f>IFERROR(INDEX('FB 콘텐츠 data'!AQ:AQ,MATCH('FB 신규발행'!A71,'FB 콘텐츠 data'!AR:AR,0)),"")</f>
        <v/>
      </c>
      <c r="C71" s="196" t="str">
        <f>IFERROR(INDEX('FB 콘텐츠 data'!$A$1:$AH$25,MATCH('FB 신규발행'!$A71,'FB 콘텐츠 data'!$AR:$AR,0),MATCH(C$2,'FB 콘텐츠 data'!$A$1:$AH$1,0)),"")</f>
        <v/>
      </c>
      <c r="D71" s="197" t="str">
        <f>IFERROR(INDEX('FB 콘텐츠 data'!$A$1:$AH$25,MATCH('FB 신규발행'!$A71,'FB 콘텐츠 data'!$AR:$AR,0),MATCH(D$2,'FB 콘텐츠 data'!$A$1:$AH$1,0)),"")</f>
        <v/>
      </c>
      <c r="E71" s="197" t="str">
        <f>IFERROR(INDEX('FB 콘텐츠 data'!$A$1:$AH$25,MATCH('FB 신규발행'!$A71,'FB 콘텐츠 data'!$AR:$AR,0),MATCH(E$2,'FB 콘텐츠 data'!$A$1:$AH$1,0)),"")</f>
        <v/>
      </c>
      <c r="F71" s="197" t="str">
        <f>IFERROR(INDEX('FB 콘텐츠 data'!$A$1:$AH$25,MATCH('FB 신규발행'!$A71,'FB 콘텐츠 data'!$AR:$AR,0),MATCH(F$2,'FB 콘텐츠 data'!$A$1:$AH$1,0)),"")</f>
        <v/>
      </c>
      <c r="G71" s="197" t="str">
        <f>IFERROR(INDEX('FB 콘텐츠 data'!$A$1:$AH$25,MATCH('FB 신규발행'!$A71,'FB 콘텐츠 data'!$AR:$AR,0),MATCH(G$2,'FB 콘텐츠 data'!$A$1:$AH$1,0)),"")</f>
        <v/>
      </c>
      <c r="H71" s="197" t="str">
        <f t="shared" si="9"/>
        <v/>
      </c>
      <c r="I71" s="197" t="str">
        <f>IFERROR(INDEX('FB 콘텐츠 data'!$A$1:$AH$25,MATCH('FB 신규발행'!$A71,'FB 콘텐츠 data'!$AR:$AR,0),MATCH(I$2,'FB 콘텐츠 data'!$A$1:$AH$1,0)),"")</f>
        <v/>
      </c>
      <c r="J71" s="197" t="str">
        <f>IFERROR(INDEX('FB 콘텐츠 data'!$A$1:$AH$25,MATCH('FB 신규발행'!$A71,'FB 콘텐츠 data'!$AR:$AR,0),MATCH(J$2,'FB 콘텐츠 data'!$A$1:$AH$1,0)),"")</f>
        <v/>
      </c>
      <c r="K71" s="196" t="str">
        <f>IFERROR(INDEX('FB 콘텐츠 data'!$A$1:$AR$25,MATCH('FB 신규발행'!$A71,'FB 콘텐츠 data'!$AR:$AR,0),MATCH(K$2,'FB 콘텐츠 data'!$A$1:$AR$1,0)),"")</f>
        <v/>
      </c>
      <c r="L71" s="197" t="str">
        <f>IFERROR(INDEX('FB 콘텐츠 data'!$A$1:$AH$25,MATCH('FB 신규발행'!$A71,'FB 콘텐츠 data'!$AR:$AR,0),MATCH(L$2,'FB 콘텐츠 data'!$A$1:$AH$1,0)),"")</f>
        <v/>
      </c>
      <c r="M71" s="197" t="str">
        <f>IFERROR(INDEX('FB 콘텐츠 data'!$A$1:$AH$25,MATCH('FB 신규발행'!$A71,'FB 콘텐츠 data'!$AR:$AR,0),MATCH(M$2,'FB 콘텐츠 data'!$A$1:$AH$1,0)),"")</f>
        <v/>
      </c>
      <c r="N71" s="197" t="str">
        <f>IFERROR(INDEX('FB 콘텐츠 data'!$A$1:$AH$25,MATCH('FB 신규발행'!$A71,'FB 콘텐츠 data'!$AR:$AR,0),MATCH(N$2,'FB 콘텐츠 data'!$A$1:$AH$1,0)),"")</f>
        <v/>
      </c>
      <c r="O71" s="197" t="str">
        <f>IFERROR(INDEX('FB 콘텐츠 data'!$A$1:$AH$25,MATCH('FB 신규발행'!$A71,'FB 콘텐츠 data'!$AR:$AR,0),MATCH(O$2,'FB 콘텐츠 data'!$A$1:$AH$1,0)),"")</f>
        <v/>
      </c>
      <c r="P71" s="197" t="str">
        <f>IFERROR(INDEX('FB 콘텐츠 data'!$A$1:$AH$25,MATCH('FB 신규발행'!$A71,'FB 콘텐츠 data'!$AR:$AR,0),MATCH(P$2,'FB 콘텐츠 data'!$A$1:$AH$1,0)),"")</f>
        <v/>
      </c>
      <c r="Q71" s="197" t="str">
        <f>IFERROR(INDEX('FB 콘텐츠 data'!$A$1:$AH$25,MATCH('FB 신규발행'!$A71,'FB 콘텐츠 data'!$AR:$AR,0),MATCH(Q$2,'FB 콘텐츠 data'!$A$1:$AH$1,0)),"")</f>
        <v/>
      </c>
      <c r="R71" s="198" t="str">
        <f t="shared" si="10"/>
        <v/>
      </c>
      <c r="T71" s="125" t="str">
        <f t="shared" si="11"/>
        <v/>
      </c>
      <c r="U71" s="125" t="str">
        <f t="shared" si="12"/>
        <v/>
      </c>
      <c r="Y71" s="157"/>
    </row>
    <row r="72" spans="1:25" ht="17.45" customHeight="1">
      <c r="A72" s="156">
        <v>70</v>
      </c>
      <c r="B72" s="195" t="str">
        <f>IFERROR(INDEX('FB 콘텐츠 data'!AQ:AQ,MATCH('FB 신규발행'!A72,'FB 콘텐츠 data'!AR:AR,0)),"")</f>
        <v/>
      </c>
      <c r="C72" s="196" t="str">
        <f>IFERROR(INDEX('FB 콘텐츠 data'!$A$1:$AH$25,MATCH('FB 신규발행'!$A72,'FB 콘텐츠 data'!$AR:$AR,0),MATCH(C$2,'FB 콘텐츠 data'!$A$1:$AH$1,0)),"")</f>
        <v/>
      </c>
      <c r="D72" s="197" t="str">
        <f>IFERROR(INDEX('FB 콘텐츠 data'!$A$1:$AH$25,MATCH('FB 신규발행'!$A72,'FB 콘텐츠 data'!$AR:$AR,0),MATCH(D$2,'FB 콘텐츠 data'!$A$1:$AH$1,0)),"")</f>
        <v/>
      </c>
      <c r="E72" s="197" t="str">
        <f>IFERROR(INDEX('FB 콘텐츠 data'!$A$1:$AH$25,MATCH('FB 신규발행'!$A72,'FB 콘텐츠 data'!$AR:$AR,0),MATCH(E$2,'FB 콘텐츠 data'!$A$1:$AH$1,0)),"")</f>
        <v/>
      </c>
      <c r="F72" s="197" t="str">
        <f>IFERROR(INDEX('FB 콘텐츠 data'!$A$1:$AH$25,MATCH('FB 신규발행'!$A72,'FB 콘텐츠 data'!$AR:$AR,0),MATCH(F$2,'FB 콘텐츠 data'!$A$1:$AH$1,0)),"")</f>
        <v/>
      </c>
      <c r="G72" s="197" t="str">
        <f>IFERROR(INDEX('FB 콘텐츠 data'!$A$1:$AH$25,MATCH('FB 신규발행'!$A72,'FB 콘텐츠 data'!$AR:$AR,0),MATCH(G$2,'FB 콘텐츠 data'!$A$1:$AH$1,0)),"")</f>
        <v/>
      </c>
      <c r="H72" s="197" t="str">
        <f t="shared" si="9"/>
        <v/>
      </c>
      <c r="I72" s="197" t="str">
        <f>IFERROR(INDEX('FB 콘텐츠 data'!$A$1:$AH$25,MATCH('FB 신규발행'!$A72,'FB 콘텐츠 data'!$AR:$AR,0),MATCH(I$2,'FB 콘텐츠 data'!$A$1:$AH$1,0)),"")</f>
        <v/>
      </c>
      <c r="J72" s="197" t="str">
        <f>IFERROR(INDEX('FB 콘텐츠 data'!$A$1:$AH$25,MATCH('FB 신규발행'!$A72,'FB 콘텐츠 data'!$AR:$AR,0),MATCH(J$2,'FB 콘텐츠 data'!$A$1:$AH$1,0)),"")</f>
        <v/>
      </c>
      <c r="K72" s="196" t="str">
        <f>IFERROR(INDEX('FB 콘텐츠 data'!$A$1:$AR$25,MATCH('FB 신규발행'!$A72,'FB 콘텐츠 data'!$AR:$AR,0),MATCH(K$2,'FB 콘텐츠 data'!$A$1:$AR$1,0)),"")</f>
        <v/>
      </c>
      <c r="L72" s="197" t="str">
        <f>IFERROR(INDEX('FB 콘텐츠 data'!$A$1:$AH$25,MATCH('FB 신규발행'!$A72,'FB 콘텐츠 data'!$AR:$AR,0),MATCH(L$2,'FB 콘텐츠 data'!$A$1:$AH$1,0)),"")</f>
        <v/>
      </c>
      <c r="M72" s="197" t="str">
        <f>IFERROR(INDEX('FB 콘텐츠 data'!$A$1:$AH$25,MATCH('FB 신규발행'!$A72,'FB 콘텐츠 data'!$AR:$AR,0),MATCH(M$2,'FB 콘텐츠 data'!$A$1:$AH$1,0)),"")</f>
        <v/>
      </c>
      <c r="N72" s="197" t="str">
        <f>IFERROR(INDEX('FB 콘텐츠 data'!$A$1:$AH$25,MATCH('FB 신규발행'!$A72,'FB 콘텐츠 data'!$AR:$AR,0),MATCH(N$2,'FB 콘텐츠 data'!$A$1:$AH$1,0)),"")</f>
        <v/>
      </c>
      <c r="O72" s="197" t="str">
        <f>IFERROR(INDEX('FB 콘텐츠 data'!$A$1:$AH$25,MATCH('FB 신규발행'!$A72,'FB 콘텐츠 data'!$AR:$AR,0),MATCH(O$2,'FB 콘텐츠 data'!$A$1:$AH$1,0)),"")</f>
        <v/>
      </c>
      <c r="P72" s="197" t="str">
        <f>IFERROR(INDEX('FB 콘텐츠 data'!$A$1:$AH$25,MATCH('FB 신규발행'!$A72,'FB 콘텐츠 data'!$AR:$AR,0),MATCH(P$2,'FB 콘텐츠 data'!$A$1:$AH$1,0)),"")</f>
        <v/>
      </c>
      <c r="Q72" s="197" t="str">
        <f>IFERROR(INDEX('FB 콘텐츠 data'!$A$1:$AH$25,MATCH('FB 신규발행'!$A72,'FB 콘텐츠 data'!$AR:$AR,0),MATCH(Q$2,'FB 콘텐츠 data'!$A$1:$AH$1,0)),"")</f>
        <v/>
      </c>
      <c r="R72" s="198" t="str">
        <f t="shared" si="10"/>
        <v/>
      </c>
      <c r="T72" s="125" t="str">
        <f t="shared" si="11"/>
        <v/>
      </c>
      <c r="U72" s="125" t="str">
        <f t="shared" si="12"/>
        <v/>
      </c>
      <c r="Y72" s="157"/>
    </row>
    <row r="73" spans="1:25" ht="17.45" customHeight="1">
      <c r="A73" s="156">
        <v>71</v>
      </c>
      <c r="B73" s="195" t="str">
        <f>IFERROR(INDEX('FB 콘텐츠 data'!AQ:AQ,MATCH('FB 신규발행'!A73,'FB 콘텐츠 data'!AR:AR,0)),"")</f>
        <v/>
      </c>
      <c r="C73" s="196" t="str">
        <f>IFERROR(INDEX('FB 콘텐츠 data'!$A$1:$AH$25,MATCH('FB 신규발행'!$A73,'FB 콘텐츠 data'!$AR:$AR,0),MATCH(C$2,'FB 콘텐츠 data'!$A$1:$AH$1,0)),"")</f>
        <v/>
      </c>
      <c r="D73" s="197" t="str">
        <f>IFERROR(INDEX('FB 콘텐츠 data'!$A$1:$AH$25,MATCH('FB 신규발행'!$A73,'FB 콘텐츠 data'!$AR:$AR,0),MATCH(D$2,'FB 콘텐츠 data'!$A$1:$AH$1,0)),"")</f>
        <v/>
      </c>
      <c r="E73" s="197" t="str">
        <f>IFERROR(INDEX('FB 콘텐츠 data'!$A$1:$AH$25,MATCH('FB 신규발행'!$A73,'FB 콘텐츠 data'!$AR:$AR,0),MATCH(E$2,'FB 콘텐츠 data'!$A$1:$AH$1,0)),"")</f>
        <v/>
      </c>
      <c r="F73" s="197" t="str">
        <f>IFERROR(INDEX('FB 콘텐츠 data'!$A$1:$AH$25,MATCH('FB 신규발행'!$A73,'FB 콘텐츠 data'!$AR:$AR,0),MATCH(F$2,'FB 콘텐츠 data'!$A$1:$AH$1,0)),"")</f>
        <v/>
      </c>
      <c r="G73" s="197" t="str">
        <f>IFERROR(INDEX('FB 콘텐츠 data'!$A$1:$AH$25,MATCH('FB 신규발행'!$A73,'FB 콘텐츠 data'!$AR:$AR,0),MATCH(G$2,'FB 콘텐츠 data'!$A$1:$AH$1,0)),"")</f>
        <v/>
      </c>
      <c r="H73" s="197" t="str">
        <f t="shared" si="9"/>
        <v/>
      </c>
      <c r="I73" s="197" t="str">
        <f>IFERROR(INDEX('FB 콘텐츠 data'!$A$1:$AH$25,MATCH('FB 신규발행'!$A73,'FB 콘텐츠 data'!$AR:$AR,0),MATCH(I$2,'FB 콘텐츠 data'!$A$1:$AH$1,0)),"")</f>
        <v/>
      </c>
      <c r="J73" s="197" t="str">
        <f>IFERROR(INDEX('FB 콘텐츠 data'!$A$1:$AH$25,MATCH('FB 신규발행'!$A73,'FB 콘텐츠 data'!$AR:$AR,0),MATCH(J$2,'FB 콘텐츠 data'!$A$1:$AH$1,0)),"")</f>
        <v/>
      </c>
      <c r="K73" s="196" t="str">
        <f>IFERROR(INDEX('FB 콘텐츠 data'!$A$1:$AR$25,MATCH('FB 신규발행'!$A73,'FB 콘텐츠 data'!$AR:$AR,0),MATCH(K$2,'FB 콘텐츠 data'!$A$1:$AR$1,0)),"")</f>
        <v/>
      </c>
      <c r="L73" s="197" t="str">
        <f>IFERROR(INDEX('FB 콘텐츠 data'!$A$1:$AH$25,MATCH('FB 신규발행'!$A73,'FB 콘텐츠 data'!$AR:$AR,0),MATCH(L$2,'FB 콘텐츠 data'!$A$1:$AH$1,0)),"")</f>
        <v/>
      </c>
      <c r="M73" s="197" t="str">
        <f>IFERROR(INDEX('FB 콘텐츠 data'!$A$1:$AH$25,MATCH('FB 신규발행'!$A73,'FB 콘텐츠 data'!$AR:$AR,0),MATCH(M$2,'FB 콘텐츠 data'!$A$1:$AH$1,0)),"")</f>
        <v/>
      </c>
      <c r="N73" s="197" t="str">
        <f>IFERROR(INDEX('FB 콘텐츠 data'!$A$1:$AH$25,MATCH('FB 신규발행'!$A73,'FB 콘텐츠 data'!$AR:$AR,0),MATCH(N$2,'FB 콘텐츠 data'!$A$1:$AH$1,0)),"")</f>
        <v/>
      </c>
      <c r="O73" s="197" t="str">
        <f>IFERROR(INDEX('FB 콘텐츠 data'!$A$1:$AH$25,MATCH('FB 신규발행'!$A73,'FB 콘텐츠 data'!$AR:$AR,0),MATCH(O$2,'FB 콘텐츠 data'!$A$1:$AH$1,0)),"")</f>
        <v/>
      </c>
      <c r="P73" s="197" t="str">
        <f>IFERROR(INDEX('FB 콘텐츠 data'!$A$1:$AH$25,MATCH('FB 신규발행'!$A73,'FB 콘텐츠 data'!$AR:$AR,0),MATCH(P$2,'FB 콘텐츠 data'!$A$1:$AH$1,0)),"")</f>
        <v/>
      </c>
      <c r="Q73" s="197" t="str">
        <f>IFERROR(INDEX('FB 콘텐츠 data'!$A$1:$AH$25,MATCH('FB 신규발행'!$A73,'FB 콘텐츠 data'!$AR:$AR,0),MATCH(Q$2,'FB 콘텐츠 data'!$A$1:$AH$1,0)),"")</f>
        <v/>
      </c>
      <c r="R73" s="198" t="str">
        <f t="shared" si="10"/>
        <v/>
      </c>
      <c r="T73" s="125" t="str">
        <f t="shared" si="11"/>
        <v/>
      </c>
      <c r="U73" s="125" t="str">
        <f t="shared" si="12"/>
        <v/>
      </c>
      <c r="Y73" s="157"/>
    </row>
    <row r="74" spans="1:25" ht="17.45" customHeight="1">
      <c r="A74" s="156">
        <v>72</v>
      </c>
      <c r="B74" s="195" t="str">
        <f>IFERROR(INDEX('FB 콘텐츠 data'!AQ:AQ,MATCH('FB 신규발행'!A74,'FB 콘텐츠 data'!AR:AR,0)),"")</f>
        <v/>
      </c>
      <c r="C74" s="196" t="str">
        <f>IFERROR(INDEX('FB 콘텐츠 data'!$A$1:$AH$25,MATCH('FB 신규발행'!$A74,'FB 콘텐츠 data'!$AR:$AR,0),MATCH(C$2,'FB 콘텐츠 data'!$A$1:$AH$1,0)),"")</f>
        <v/>
      </c>
      <c r="D74" s="197" t="str">
        <f>IFERROR(INDEX('FB 콘텐츠 data'!$A$1:$AH$25,MATCH('FB 신규발행'!$A74,'FB 콘텐츠 data'!$AR:$AR,0),MATCH(D$2,'FB 콘텐츠 data'!$A$1:$AH$1,0)),"")</f>
        <v/>
      </c>
      <c r="E74" s="197" t="str">
        <f>IFERROR(INDEX('FB 콘텐츠 data'!$A$1:$AH$25,MATCH('FB 신규발행'!$A74,'FB 콘텐츠 data'!$AR:$AR,0),MATCH(E$2,'FB 콘텐츠 data'!$A$1:$AH$1,0)),"")</f>
        <v/>
      </c>
      <c r="F74" s="197" t="str">
        <f>IFERROR(INDEX('FB 콘텐츠 data'!$A$1:$AH$25,MATCH('FB 신규발행'!$A74,'FB 콘텐츠 data'!$AR:$AR,0),MATCH(F$2,'FB 콘텐츠 data'!$A$1:$AH$1,0)),"")</f>
        <v/>
      </c>
      <c r="G74" s="197" t="str">
        <f>IFERROR(INDEX('FB 콘텐츠 data'!$A$1:$AH$25,MATCH('FB 신규발행'!$A74,'FB 콘텐츠 data'!$AR:$AR,0),MATCH(G$2,'FB 콘텐츠 data'!$A$1:$AH$1,0)),"")</f>
        <v/>
      </c>
      <c r="H74" s="197" t="str">
        <f t="shared" si="9"/>
        <v/>
      </c>
      <c r="I74" s="197" t="str">
        <f>IFERROR(INDEX('FB 콘텐츠 data'!$A$1:$AH$25,MATCH('FB 신규발행'!$A74,'FB 콘텐츠 data'!$AR:$AR,0),MATCH(I$2,'FB 콘텐츠 data'!$A$1:$AH$1,0)),"")</f>
        <v/>
      </c>
      <c r="J74" s="197" t="str">
        <f>IFERROR(INDEX('FB 콘텐츠 data'!$A$1:$AH$25,MATCH('FB 신규발행'!$A74,'FB 콘텐츠 data'!$AR:$AR,0),MATCH(J$2,'FB 콘텐츠 data'!$A$1:$AH$1,0)),"")</f>
        <v/>
      </c>
      <c r="K74" s="196" t="str">
        <f>IFERROR(INDEX('FB 콘텐츠 data'!$A$1:$AR$25,MATCH('FB 신규발행'!$A74,'FB 콘텐츠 data'!$AR:$AR,0),MATCH(K$2,'FB 콘텐츠 data'!$A$1:$AR$1,0)),"")</f>
        <v/>
      </c>
      <c r="L74" s="197" t="str">
        <f>IFERROR(INDEX('FB 콘텐츠 data'!$A$1:$AH$25,MATCH('FB 신규발행'!$A74,'FB 콘텐츠 data'!$AR:$AR,0),MATCH(L$2,'FB 콘텐츠 data'!$A$1:$AH$1,0)),"")</f>
        <v/>
      </c>
      <c r="M74" s="197" t="str">
        <f>IFERROR(INDEX('FB 콘텐츠 data'!$A$1:$AH$25,MATCH('FB 신규발행'!$A74,'FB 콘텐츠 data'!$AR:$AR,0),MATCH(M$2,'FB 콘텐츠 data'!$A$1:$AH$1,0)),"")</f>
        <v/>
      </c>
      <c r="N74" s="197" t="str">
        <f>IFERROR(INDEX('FB 콘텐츠 data'!$A$1:$AH$25,MATCH('FB 신규발행'!$A74,'FB 콘텐츠 data'!$AR:$AR,0),MATCH(N$2,'FB 콘텐츠 data'!$A$1:$AH$1,0)),"")</f>
        <v/>
      </c>
      <c r="O74" s="197" t="str">
        <f>IFERROR(INDEX('FB 콘텐츠 data'!$A$1:$AH$25,MATCH('FB 신규발행'!$A74,'FB 콘텐츠 data'!$AR:$AR,0),MATCH(O$2,'FB 콘텐츠 data'!$A$1:$AH$1,0)),"")</f>
        <v/>
      </c>
      <c r="P74" s="197" t="str">
        <f>IFERROR(INDEX('FB 콘텐츠 data'!$A$1:$AH$25,MATCH('FB 신규발행'!$A74,'FB 콘텐츠 data'!$AR:$AR,0),MATCH(P$2,'FB 콘텐츠 data'!$A$1:$AH$1,0)),"")</f>
        <v/>
      </c>
      <c r="Q74" s="197" t="str">
        <f>IFERROR(INDEX('FB 콘텐츠 data'!$A$1:$AH$25,MATCH('FB 신규발행'!$A74,'FB 콘텐츠 data'!$AR:$AR,0),MATCH(Q$2,'FB 콘텐츠 data'!$A$1:$AH$1,0)),"")</f>
        <v/>
      </c>
      <c r="R74" s="198" t="str">
        <f t="shared" si="10"/>
        <v/>
      </c>
      <c r="T74" s="125" t="str">
        <f t="shared" si="11"/>
        <v/>
      </c>
      <c r="U74" s="125" t="str">
        <f t="shared" si="12"/>
        <v/>
      </c>
      <c r="Y74" s="157"/>
    </row>
    <row r="75" spans="1:25" ht="17.45" customHeight="1">
      <c r="A75" s="156">
        <v>73</v>
      </c>
      <c r="B75" s="195" t="str">
        <f>IFERROR(INDEX('FB 콘텐츠 data'!AQ:AQ,MATCH('FB 신규발행'!A75,'FB 콘텐츠 data'!AR:AR,0)),"")</f>
        <v/>
      </c>
      <c r="C75" s="196" t="str">
        <f>IFERROR(INDEX('FB 콘텐츠 data'!$A$1:$AH$25,MATCH('FB 신규발행'!$A75,'FB 콘텐츠 data'!$AR:$AR,0),MATCH(C$2,'FB 콘텐츠 data'!$A$1:$AH$1,0)),"")</f>
        <v/>
      </c>
      <c r="D75" s="197" t="str">
        <f>IFERROR(INDEX('FB 콘텐츠 data'!$A$1:$AH$25,MATCH('FB 신규발행'!$A75,'FB 콘텐츠 data'!$AR:$AR,0),MATCH(D$2,'FB 콘텐츠 data'!$A$1:$AH$1,0)),"")</f>
        <v/>
      </c>
      <c r="E75" s="197" t="str">
        <f>IFERROR(INDEX('FB 콘텐츠 data'!$A$1:$AH$25,MATCH('FB 신규발행'!$A75,'FB 콘텐츠 data'!$AR:$AR,0),MATCH(E$2,'FB 콘텐츠 data'!$A$1:$AH$1,0)),"")</f>
        <v/>
      </c>
      <c r="F75" s="197" t="str">
        <f>IFERROR(INDEX('FB 콘텐츠 data'!$A$1:$AH$25,MATCH('FB 신규발행'!$A75,'FB 콘텐츠 data'!$AR:$AR,0),MATCH(F$2,'FB 콘텐츠 data'!$A$1:$AH$1,0)),"")</f>
        <v/>
      </c>
      <c r="G75" s="197" t="str">
        <f>IFERROR(INDEX('FB 콘텐츠 data'!$A$1:$AH$25,MATCH('FB 신규발행'!$A75,'FB 콘텐츠 data'!$AR:$AR,0),MATCH(G$2,'FB 콘텐츠 data'!$A$1:$AH$1,0)),"")</f>
        <v/>
      </c>
      <c r="H75" s="197" t="str">
        <f t="shared" si="9"/>
        <v/>
      </c>
      <c r="I75" s="197" t="str">
        <f>IFERROR(INDEX('FB 콘텐츠 data'!$A$1:$AH$25,MATCH('FB 신규발행'!$A75,'FB 콘텐츠 data'!$AR:$AR,0),MATCH(I$2,'FB 콘텐츠 data'!$A$1:$AH$1,0)),"")</f>
        <v/>
      </c>
      <c r="J75" s="197" t="str">
        <f>IFERROR(INDEX('FB 콘텐츠 data'!$A$1:$AH$25,MATCH('FB 신규발행'!$A75,'FB 콘텐츠 data'!$AR:$AR,0),MATCH(J$2,'FB 콘텐츠 data'!$A$1:$AH$1,0)),"")</f>
        <v/>
      </c>
      <c r="K75" s="196" t="str">
        <f>IFERROR(INDEX('FB 콘텐츠 data'!$A$1:$AR$25,MATCH('FB 신규발행'!$A75,'FB 콘텐츠 data'!$AR:$AR,0),MATCH(K$2,'FB 콘텐츠 data'!$A$1:$AR$1,0)),"")</f>
        <v/>
      </c>
      <c r="L75" s="197" t="str">
        <f>IFERROR(INDEX('FB 콘텐츠 data'!$A$1:$AH$25,MATCH('FB 신규발행'!$A75,'FB 콘텐츠 data'!$AR:$AR,0),MATCH(L$2,'FB 콘텐츠 data'!$A$1:$AH$1,0)),"")</f>
        <v/>
      </c>
      <c r="M75" s="197" t="str">
        <f>IFERROR(INDEX('FB 콘텐츠 data'!$A$1:$AH$25,MATCH('FB 신규발행'!$A75,'FB 콘텐츠 data'!$AR:$AR,0),MATCH(M$2,'FB 콘텐츠 data'!$A$1:$AH$1,0)),"")</f>
        <v/>
      </c>
      <c r="N75" s="197" t="str">
        <f>IFERROR(INDEX('FB 콘텐츠 data'!$A$1:$AH$25,MATCH('FB 신규발행'!$A75,'FB 콘텐츠 data'!$AR:$AR,0),MATCH(N$2,'FB 콘텐츠 data'!$A$1:$AH$1,0)),"")</f>
        <v/>
      </c>
      <c r="O75" s="197" t="str">
        <f>IFERROR(INDEX('FB 콘텐츠 data'!$A$1:$AH$25,MATCH('FB 신규발행'!$A75,'FB 콘텐츠 data'!$AR:$AR,0),MATCH(O$2,'FB 콘텐츠 data'!$A$1:$AH$1,0)),"")</f>
        <v/>
      </c>
      <c r="P75" s="197" t="str">
        <f>IFERROR(INDEX('FB 콘텐츠 data'!$A$1:$AH$25,MATCH('FB 신규발행'!$A75,'FB 콘텐츠 data'!$AR:$AR,0),MATCH(P$2,'FB 콘텐츠 data'!$A$1:$AH$1,0)),"")</f>
        <v/>
      </c>
      <c r="Q75" s="197" t="str">
        <f>IFERROR(INDEX('FB 콘텐츠 data'!$A$1:$AH$25,MATCH('FB 신규발행'!$A75,'FB 콘텐츠 data'!$AR:$AR,0),MATCH(Q$2,'FB 콘텐츠 data'!$A$1:$AH$1,0)),"")</f>
        <v/>
      </c>
      <c r="R75" s="198" t="str">
        <f t="shared" si="10"/>
        <v/>
      </c>
      <c r="T75" s="125" t="str">
        <f t="shared" si="11"/>
        <v/>
      </c>
      <c r="U75" s="125" t="str">
        <f t="shared" si="12"/>
        <v/>
      </c>
      <c r="Y75" s="157"/>
    </row>
    <row r="76" spans="1:25" ht="17.45" customHeight="1">
      <c r="A76" s="156">
        <v>74</v>
      </c>
      <c r="B76" s="195" t="str">
        <f>IFERROR(INDEX('FB 콘텐츠 data'!AQ:AQ,MATCH('FB 신규발행'!A76,'FB 콘텐츠 data'!AR:AR,0)),"")</f>
        <v/>
      </c>
      <c r="C76" s="196" t="str">
        <f>IFERROR(INDEX('FB 콘텐츠 data'!$A$1:$AH$25,MATCH('FB 신규발행'!$A76,'FB 콘텐츠 data'!$AR:$AR,0),MATCH(C$2,'FB 콘텐츠 data'!$A$1:$AH$1,0)),"")</f>
        <v/>
      </c>
      <c r="D76" s="197" t="str">
        <f>IFERROR(INDEX('FB 콘텐츠 data'!$A$1:$AH$25,MATCH('FB 신규발행'!$A76,'FB 콘텐츠 data'!$AR:$AR,0),MATCH(D$2,'FB 콘텐츠 data'!$A$1:$AH$1,0)),"")</f>
        <v/>
      </c>
      <c r="E76" s="197" t="str">
        <f>IFERROR(INDEX('FB 콘텐츠 data'!$A$1:$AH$25,MATCH('FB 신규발행'!$A76,'FB 콘텐츠 data'!$AR:$AR,0),MATCH(E$2,'FB 콘텐츠 data'!$A$1:$AH$1,0)),"")</f>
        <v/>
      </c>
      <c r="F76" s="197" t="str">
        <f>IFERROR(INDEX('FB 콘텐츠 data'!$A$1:$AH$25,MATCH('FB 신규발행'!$A76,'FB 콘텐츠 data'!$AR:$AR,0),MATCH(F$2,'FB 콘텐츠 data'!$A$1:$AH$1,0)),"")</f>
        <v/>
      </c>
      <c r="G76" s="197" t="str">
        <f>IFERROR(INDEX('FB 콘텐츠 data'!$A$1:$AH$25,MATCH('FB 신규발행'!$A76,'FB 콘텐츠 data'!$AR:$AR,0),MATCH(G$2,'FB 콘텐츠 data'!$A$1:$AH$1,0)),"")</f>
        <v/>
      </c>
      <c r="H76" s="197" t="str">
        <f t="shared" si="9"/>
        <v/>
      </c>
      <c r="I76" s="197" t="str">
        <f>IFERROR(INDEX('FB 콘텐츠 data'!$A$1:$AH$25,MATCH('FB 신규발행'!$A76,'FB 콘텐츠 data'!$AR:$AR,0),MATCH(I$2,'FB 콘텐츠 data'!$A$1:$AH$1,0)),"")</f>
        <v/>
      </c>
      <c r="J76" s="197" t="str">
        <f>IFERROR(INDEX('FB 콘텐츠 data'!$A$1:$AH$25,MATCH('FB 신규발행'!$A76,'FB 콘텐츠 data'!$AR:$AR,0),MATCH(J$2,'FB 콘텐츠 data'!$A$1:$AH$1,0)),"")</f>
        <v/>
      </c>
      <c r="K76" s="196" t="str">
        <f>IFERROR(INDEX('FB 콘텐츠 data'!$A$1:$AR$25,MATCH('FB 신규발행'!$A76,'FB 콘텐츠 data'!$AR:$AR,0),MATCH(K$2,'FB 콘텐츠 data'!$A$1:$AR$1,0)),"")</f>
        <v/>
      </c>
      <c r="L76" s="197" t="str">
        <f>IFERROR(INDEX('FB 콘텐츠 data'!$A$1:$AH$25,MATCH('FB 신규발행'!$A76,'FB 콘텐츠 data'!$AR:$AR,0),MATCH(L$2,'FB 콘텐츠 data'!$A$1:$AH$1,0)),"")</f>
        <v/>
      </c>
      <c r="M76" s="197" t="str">
        <f>IFERROR(INDEX('FB 콘텐츠 data'!$A$1:$AH$25,MATCH('FB 신규발행'!$A76,'FB 콘텐츠 data'!$AR:$AR,0),MATCH(M$2,'FB 콘텐츠 data'!$A$1:$AH$1,0)),"")</f>
        <v/>
      </c>
      <c r="N76" s="197" t="str">
        <f>IFERROR(INDEX('FB 콘텐츠 data'!$A$1:$AH$25,MATCH('FB 신규발행'!$A76,'FB 콘텐츠 data'!$AR:$AR,0),MATCH(N$2,'FB 콘텐츠 data'!$A$1:$AH$1,0)),"")</f>
        <v/>
      </c>
      <c r="O76" s="197" t="str">
        <f>IFERROR(INDEX('FB 콘텐츠 data'!$A$1:$AH$25,MATCH('FB 신규발행'!$A76,'FB 콘텐츠 data'!$AR:$AR,0),MATCH(O$2,'FB 콘텐츠 data'!$A$1:$AH$1,0)),"")</f>
        <v/>
      </c>
      <c r="P76" s="197" t="str">
        <f>IFERROR(INDEX('FB 콘텐츠 data'!$A$1:$AH$25,MATCH('FB 신규발행'!$A76,'FB 콘텐츠 data'!$AR:$AR,0),MATCH(P$2,'FB 콘텐츠 data'!$A$1:$AH$1,0)),"")</f>
        <v/>
      </c>
      <c r="Q76" s="197" t="str">
        <f>IFERROR(INDEX('FB 콘텐츠 data'!$A$1:$AH$25,MATCH('FB 신규발행'!$A76,'FB 콘텐츠 data'!$AR:$AR,0),MATCH(Q$2,'FB 콘텐츠 data'!$A$1:$AH$1,0)),"")</f>
        <v/>
      </c>
      <c r="R76" s="198" t="str">
        <f t="shared" si="10"/>
        <v/>
      </c>
      <c r="T76" s="125" t="str">
        <f t="shared" si="11"/>
        <v/>
      </c>
      <c r="U76" s="125" t="str">
        <f t="shared" si="12"/>
        <v/>
      </c>
      <c r="Y76" s="157"/>
    </row>
    <row r="77" spans="1:25" ht="17.45" customHeight="1">
      <c r="A77" s="156">
        <v>75</v>
      </c>
      <c r="B77" s="195" t="str">
        <f>IFERROR(INDEX('FB 콘텐츠 data'!AQ:AQ,MATCH('FB 신규발행'!A77,'FB 콘텐츠 data'!AR:AR,0)),"")</f>
        <v/>
      </c>
      <c r="C77" s="196" t="str">
        <f>IFERROR(INDEX('FB 콘텐츠 data'!$A$1:$AH$25,MATCH('FB 신규발행'!$A77,'FB 콘텐츠 data'!$AR:$AR,0),MATCH(C$2,'FB 콘텐츠 data'!$A$1:$AH$1,0)),"")</f>
        <v/>
      </c>
      <c r="D77" s="197" t="str">
        <f>IFERROR(INDEX('FB 콘텐츠 data'!$A$1:$AH$25,MATCH('FB 신규발행'!$A77,'FB 콘텐츠 data'!$AR:$AR,0),MATCH(D$2,'FB 콘텐츠 data'!$A$1:$AH$1,0)),"")</f>
        <v/>
      </c>
      <c r="E77" s="197" t="str">
        <f>IFERROR(INDEX('FB 콘텐츠 data'!$A$1:$AH$25,MATCH('FB 신규발행'!$A77,'FB 콘텐츠 data'!$AR:$AR,0),MATCH(E$2,'FB 콘텐츠 data'!$A$1:$AH$1,0)),"")</f>
        <v/>
      </c>
      <c r="F77" s="197" t="str">
        <f>IFERROR(INDEX('FB 콘텐츠 data'!$A$1:$AH$25,MATCH('FB 신규발행'!$A77,'FB 콘텐츠 data'!$AR:$AR,0),MATCH(F$2,'FB 콘텐츠 data'!$A$1:$AH$1,0)),"")</f>
        <v/>
      </c>
      <c r="G77" s="197" t="str">
        <f>IFERROR(INDEX('FB 콘텐츠 data'!$A$1:$AH$25,MATCH('FB 신규발행'!$A77,'FB 콘텐츠 data'!$AR:$AR,0),MATCH(G$2,'FB 콘텐츠 data'!$A$1:$AH$1,0)),"")</f>
        <v/>
      </c>
      <c r="H77" s="197" t="str">
        <f t="shared" si="9"/>
        <v/>
      </c>
      <c r="I77" s="197" t="str">
        <f>IFERROR(INDEX('FB 콘텐츠 data'!$A$1:$AH$25,MATCH('FB 신규발행'!$A77,'FB 콘텐츠 data'!$AR:$AR,0),MATCH(I$2,'FB 콘텐츠 data'!$A$1:$AH$1,0)),"")</f>
        <v/>
      </c>
      <c r="J77" s="197" t="str">
        <f>IFERROR(INDEX('FB 콘텐츠 data'!$A$1:$AH$25,MATCH('FB 신규발행'!$A77,'FB 콘텐츠 data'!$AR:$AR,0),MATCH(J$2,'FB 콘텐츠 data'!$A$1:$AH$1,0)),"")</f>
        <v/>
      </c>
      <c r="K77" s="196" t="str">
        <f>IFERROR(INDEX('FB 콘텐츠 data'!$A$1:$AR$25,MATCH('FB 신규발행'!$A77,'FB 콘텐츠 data'!$AR:$AR,0),MATCH(K$2,'FB 콘텐츠 data'!$A$1:$AR$1,0)),"")</f>
        <v/>
      </c>
      <c r="L77" s="197" t="str">
        <f>IFERROR(INDEX('FB 콘텐츠 data'!$A$1:$AH$25,MATCH('FB 신규발행'!$A77,'FB 콘텐츠 data'!$AR:$AR,0),MATCH(L$2,'FB 콘텐츠 data'!$A$1:$AH$1,0)),"")</f>
        <v/>
      </c>
      <c r="M77" s="197" t="str">
        <f>IFERROR(INDEX('FB 콘텐츠 data'!$A$1:$AH$25,MATCH('FB 신규발행'!$A77,'FB 콘텐츠 data'!$AR:$AR,0),MATCH(M$2,'FB 콘텐츠 data'!$A$1:$AH$1,0)),"")</f>
        <v/>
      </c>
      <c r="N77" s="197" t="str">
        <f>IFERROR(INDEX('FB 콘텐츠 data'!$A$1:$AH$25,MATCH('FB 신규발행'!$A77,'FB 콘텐츠 data'!$AR:$AR,0),MATCH(N$2,'FB 콘텐츠 data'!$A$1:$AH$1,0)),"")</f>
        <v/>
      </c>
      <c r="O77" s="197" t="str">
        <f>IFERROR(INDEX('FB 콘텐츠 data'!$A$1:$AH$25,MATCH('FB 신규발행'!$A77,'FB 콘텐츠 data'!$AR:$AR,0),MATCH(O$2,'FB 콘텐츠 data'!$A$1:$AH$1,0)),"")</f>
        <v/>
      </c>
      <c r="P77" s="197" t="str">
        <f>IFERROR(INDEX('FB 콘텐츠 data'!$A$1:$AH$25,MATCH('FB 신규발행'!$A77,'FB 콘텐츠 data'!$AR:$AR,0),MATCH(P$2,'FB 콘텐츠 data'!$A$1:$AH$1,0)),"")</f>
        <v/>
      </c>
      <c r="Q77" s="197" t="str">
        <f>IFERROR(INDEX('FB 콘텐츠 data'!$A$1:$AH$25,MATCH('FB 신규발행'!$A77,'FB 콘텐츠 data'!$AR:$AR,0),MATCH(Q$2,'FB 콘텐츠 data'!$A$1:$AH$1,0)),"")</f>
        <v/>
      </c>
      <c r="R77" s="198" t="str">
        <f t="shared" si="10"/>
        <v/>
      </c>
      <c r="T77" s="125" t="str">
        <f t="shared" si="11"/>
        <v/>
      </c>
      <c r="U77" s="125" t="str">
        <f t="shared" si="12"/>
        <v/>
      </c>
      <c r="Y77" s="157"/>
    </row>
    <row r="78" spans="1:25" ht="17.45" customHeight="1">
      <c r="A78" s="156">
        <v>76</v>
      </c>
      <c r="B78" s="195" t="str">
        <f>IFERROR(INDEX('FB 콘텐츠 data'!AQ:AQ,MATCH('FB 신규발행'!A78,'FB 콘텐츠 data'!AR:AR,0)),"")</f>
        <v/>
      </c>
      <c r="C78" s="196" t="str">
        <f>IFERROR(INDEX('FB 콘텐츠 data'!$A$1:$AH$25,MATCH('FB 신규발행'!$A78,'FB 콘텐츠 data'!$AR:$AR,0),MATCH(C$2,'FB 콘텐츠 data'!$A$1:$AH$1,0)),"")</f>
        <v/>
      </c>
      <c r="D78" s="197" t="str">
        <f>IFERROR(INDEX('FB 콘텐츠 data'!$A$1:$AH$25,MATCH('FB 신규발행'!$A78,'FB 콘텐츠 data'!$AR:$AR,0),MATCH(D$2,'FB 콘텐츠 data'!$A$1:$AH$1,0)),"")</f>
        <v/>
      </c>
      <c r="E78" s="197" t="str">
        <f>IFERROR(INDEX('FB 콘텐츠 data'!$A$1:$AH$25,MATCH('FB 신규발행'!$A78,'FB 콘텐츠 data'!$AR:$AR,0),MATCH(E$2,'FB 콘텐츠 data'!$A$1:$AH$1,0)),"")</f>
        <v/>
      </c>
      <c r="F78" s="197" t="str">
        <f>IFERROR(INDEX('FB 콘텐츠 data'!$A$1:$AH$25,MATCH('FB 신규발행'!$A78,'FB 콘텐츠 data'!$AR:$AR,0),MATCH(F$2,'FB 콘텐츠 data'!$A$1:$AH$1,0)),"")</f>
        <v/>
      </c>
      <c r="G78" s="197" t="str">
        <f>IFERROR(INDEX('FB 콘텐츠 data'!$A$1:$AH$25,MATCH('FB 신규발행'!$A78,'FB 콘텐츠 data'!$AR:$AR,0),MATCH(G$2,'FB 콘텐츠 data'!$A$1:$AH$1,0)),"")</f>
        <v/>
      </c>
      <c r="H78" s="197" t="str">
        <f t="shared" si="9"/>
        <v/>
      </c>
      <c r="I78" s="197" t="str">
        <f>IFERROR(INDEX('FB 콘텐츠 data'!$A$1:$AH$25,MATCH('FB 신규발행'!$A78,'FB 콘텐츠 data'!$AR:$AR,0),MATCH(I$2,'FB 콘텐츠 data'!$A$1:$AH$1,0)),"")</f>
        <v/>
      </c>
      <c r="J78" s="197" t="str">
        <f>IFERROR(INDEX('FB 콘텐츠 data'!$A$1:$AH$25,MATCH('FB 신규발행'!$A78,'FB 콘텐츠 data'!$AR:$AR,0),MATCH(J$2,'FB 콘텐츠 data'!$A$1:$AH$1,0)),"")</f>
        <v/>
      </c>
      <c r="K78" s="196" t="str">
        <f>IFERROR(INDEX('FB 콘텐츠 data'!$A$1:$AR$25,MATCH('FB 신규발행'!$A78,'FB 콘텐츠 data'!$AR:$AR,0),MATCH(K$2,'FB 콘텐츠 data'!$A$1:$AR$1,0)),"")</f>
        <v/>
      </c>
      <c r="L78" s="197" t="str">
        <f>IFERROR(INDEX('FB 콘텐츠 data'!$A$1:$AH$25,MATCH('FB 신규발행'!$A78,'FB 콘텐츠 data'!$AR:$AR,0),MATCH(L$2,'FB 콘텐츠 data'!$A$1:$AH$1,0)),"")</f>
        <v/>
      </c>
      <c r="M78" s="197" t="str">
        <f>IFERROR(INDEX('FB 콘텐츠 data'!$A$1:$AH$25,MATCH('FB 신규발행'!$A78,'FB 콘텐츠 data'!$AR:$AR,0),MATCH(M$2,'FB 콘텐츠 data'!$A$1:$AH$1,0)),"")</f>
        <v/>
      </c>
      <c r="N78" s="197" t="str">
        <f>IFERROR(INDEX('FB 콘텐츠 data'!$A$1:$AH$25,MATCH('FB 신규발행'!$A78,'FB 콘텐츠 data'!$AR:$AR,0),MATCH(N$2,'FB 콘텐츠 data'!$A$1:$AH$1,0)),"")</f>
        <v/>
      </c>
      <c r="O78" s="197" t="str">
        <f>IFERROR(INDEX('FB 콘텐츠 data'!$A$1:$AH$25,MATCH('FB 신규발행'!$A78,'FB 콘텐츠 data'!$AR:$AR,0),MATCH(O$2,'FB 콘텐츠 data'!$A$1:$AH$1,0)),"")</f>
        <v/>
      </c>
      <c r="P78" s="197" t="str">
        <f>IFERROR(INDEX('FB 콘텐츠 data'!$A$1:$AH$25,MATCH('FB 신규발행'!$A78,'FB 콘텐츠 data'!$AR:$AR,0),MATCH(P$2,'FB 콘텐츠 data'!$A$1:$AH$1,0)),"")</f>
        <v/>
      </c>
      <c r="Q78" s="197" t="str">
        <f>IFERROR(INDEX('FB 콘텐츠 data'!$A$1:$AH$25,MATCH('FB 신규발행'!$A78,'FB 콘텐츠 data'!$AR:$AR,0),MATCH(Q$2,'FB 콘텐츠 data'!$A$1:$AH$1,0)),"")</f>
        <v/>
      </c>
      <c r="R78" s="198" t="str">
        <f t="shared" si="10"/>
        <v/>
      </c>
      <c r="T78" s="125" t="str">
        <f t="shared" si="11"/>
        <v/>
      </c>
      <c r="U78" s="125" t="str">
        <f t="shared" si="12"/>
        <v/>
      </c>
      <c r="Y78" s="157"/>
    </row>
    <row r="79" spans="1:25" ht="17.45" customHeight="1">
      <c r="A79" s="156">
        <v>77</v>
      </c>
      <c r="B79" s="195" t="str">
        <f>IFERROR(INDEX('FB 콘텐츠 data'!AQ:AQ,MATCH('FB 신규발행'!A79,'FB 콘텐츠 data'!AR:AR,0)),"")</f>
        <v/>
      </c>
      <c r="C79" s="196" t="str">
        <f>IFERROR(INDEX('FB 콘텐츠 data'!$A$1:$AH$25,MATCH('FB 신규발행'!$A79,'FB 콘텐츠 data'!$AR:$AR,0),MATCH(C$2,'FB 콘텐츠 data'!$A$1:$AH$1,0)),"")</f>
        <v/>
      </c>
      <c r="D79" s="197" t="str">
        <f>IFERROR(INDEX('FB 콘텐츠 data'!$A$1:$AH$25,MATCH('FB 신규발행'!$A79,'FB 콘텐츠 data'!$AR:$AR,0),MATCH(D$2,'FB 콘텐츠 data'!$A$1:$AH$1,0)),"")</f>
        <v/>
      </c>
      <c r="E79" s="197" t="str">
        <f>IFERROR(INDEX('FB 콘텐츠 data'!$A$1:$AH$25,MATCH('FB 신규발행'!$A79,'FB 콘텐츠 data'!$AR:$AR,0),MATCH(E$2,'FB 콘텐츠 data'!$A$1:$AH$1,0)),"")</f>
        <v/>
      </c>
      <c r="F79" s="197" t="str">
        <f>IFERROR(INDEX('FB 콘텐츠 data'!$A$1:$AH$25,MATCH('FB 신규발행'!$A79,'FB 콘텐츠 data'!$AR:$AR,0),MATCH(F$2,'FB 콘텐츠 data'!$A$1:$AH$1,0)),"")</f>
        <v/>
      </c>
      <c r="G79" s="197" t="str">
        <f>IFERROR(INDEX('FB 콘텐츠 data'!$A$1:$AH$25,MATCH('FB 신규발행'!$A79,'FB 콘텐츠 data'!$AR:$AR,0),MATCH(G$2,'FB 콘텐츠 data'!$A$1:$AH$1,0)),"")</f>
        <v/>
      </c>
      <c r="H79" s="197" t="str">
        <f t="shared" si="9"/>
        <v/>
      </c>
      <c r="I79" s="197" t="str">
        <f>IFERROR(INDEX('FB 콘텐츠 data'!$A$1:$AH$25,MATCH('FB 신규발행'!$A79,'FB 콘텐츠 data'!$AR:$AR,0),MATCH(I$2,'FB 콘텐츠 data'!$A$1:$AH$1,0)),"")</f>
        <v/>
      </c>
      <c r="J79" s="197" t="str">
        <f>IFERROR(INDEX('FB 콘텐츠 data'!$A$1:$AH$25,MATCH('FB 신규발행'!$A79,'FB 콘텐츠 data'!$AR:$AR,0),MATCH(J$2,'FB 콘텐츠 data'!$A$1:$AH$1,0)),"")</f>
        <v/>
      </c>
      <c r="K79" s="196" t="str">
        <f>IFERROR(INDEX('FB 콘텐츠 data'!$A$1:$AR$25,MATCH('FB 신규발행'!$A79,'FB 콘텐츠 data'!$AR:$AR,0),MATCH(K$2,'FB 콘텐츠 data'!$A$1:$AR$1,0)),"")</f>
        <v/>
      </c>
      <c r="L79" s="197" t="str">
        <f>IFERROR(INDEX('FB 콘텐츠 data'!$A$1:$AH$25,MATCH('FB 신규발행'!$A79,'FB 콘텐츠 data'!$AR:$AR,0),MATCH(L$2,'FB 콘텐츠 data'!$A$1:$AH$1,0)),"")</f>
        <v/>
      </c>
      <c r="M79" s="197" t="str">
        <f>IFERROR(INDEX('FB 콘텐츠 data'!$A$1:$AH$25,MATCH('FB 신규발행'!$A79,'FB 콘텐츠 data'!$AR:$AR,0),MATCH(M$2,'FB 콘텐츠 data'!$A$1:$AH$1,0)),"")</f>
        <v/>
      </c>
      <c r="N79" s="197" t="str">
        <f>IFERROR(INDEX('FB 콘텐츠 data'!$A$1:$AH$25,MATCH('FB 신규발행'!$A79,'FB 콘텐츠 data'!$AR:$AR,0),MATCH(N$2,'FB 콘텐츠 data'!$A$1:$AH$1,0)),"")</f>
        <v/>
      </c>
      <c r="O79" s="197" t="str">
        <f>IFERROR(INDEX('FB 콘텐츠 data'!$A$1:$AH$25,MATCH('FB 신규발행'!$A79,'FB 콘텐츠 data'!$AR:$AR,0),MATCH(O$2,'FB 콘텐츠 data'!$A$1:$AH$1,0)),"")</f>
        <v/>
      </c>
      <c r="P79" s="197" t="str">
        <f>IFERROR(INDEX('FB 콘텐츠 data'!$A$1:$AH$25,MATCH('FB 신규발행'!$A79,'FB 콘텐츠 data'!$AR:$AR,0),MATCH(P$2,'FB 콘텐츠 data'!$A$1:$AH$1,0)),"")</f>
        <v/>
      </c>
      <c r="Q79" s="197" t="str">
        <f>IFERROR(INDEX('FB 콘텐츠 data'!$A$1:$AH$25,MATCH('FB 신규발행'!$A79,'FB 콘텐츠 data'!$AR:$AR,0),MATCH(Q$2,'FB 콘텐츠 data'!$A$1:$AH$1,0)),"")</f>
        <v/>
      </c>
      <c r="R79" s="198" t="str">
        <f t="shared" si="10"/>
        <v/>
      </c>
      <c r="T79" s="125" t="str">
        <f t="shared" si="11"/>
        <v/>
      </c>
      <c r="U79" s="125" t="str">
        <f t="shared" si="12"/>
        <v/>
      </c>
      <c r="Y79" s="157"/>
    </row>
    <row r="80" spans="1:25" ht="17.45" customHeight="1">
      <c r="A80" s="156">
        <v>78</v>
      </c>
      <c r="B80" s="195" t="str">
        <f>IFERROR(INDEX('FB 콘텐츠 data'!AQ:AQ,MATCH('FB 신규발행'!A80,'FB 콘텐츠 data'!AR:AR,0)),"")</f>
        <v/>
      </c>
      <c r="C80" s="196" t="str">
        <f>IFERROR(INDEX('FB 콘텐츠 data'!$A$1:$AH$25,MATCH('FB 신규발행'!$A80,'FB 콘텐츠 data'!$AR:$AR,0),MATCH(C$2,'FB 콘텐츠 data'!$A$1:$AH$1,0)),"")</f>
        <v/>
      </c>
      <c r="D80" s="197" t="str">
        <f>IFERROR(INDEX('FB 콘텐츠 data'!$A$1:$AH$25,MATCH('FB 신규발행'!$A80,'FB 콘텐츠 data'!$AR:$AR,0),MATCH(D$2,'FB 콘텐츠 data'!$A$1:$AH$1,0)),"")</f>
        <v/>
      </c>
      <c r="E80" s="197" t="str">
        <f>IFERROR(INDEX('FB 콘텐츠 data'!$A$1:$AH$25,MATCH('FB 신규발행'!$A80,'FB 콘텐츠 data'!$AR:$AR,0),MATCH(E$2,'FB 콘텐츠 data'!$A$1:$AH$1,0)),"")</f>
        <v/>
      </c>
      <c r="F80" s="197" t="str">
        <f>IFERROR(INDEX('FB 콘텐츠 data'!$A$1:$AH$25,MATCH('FB 신규발행'!$A80,'FB 콘텐츠 data'!$AR:$AR,0),MATCH(F$2,'FB 콘텐츠 data'!$A$1:$AH$1,0)),"")</f>
        <v/>
      </c>
      <c r="G80" s="197" t="str">
        <f>IFERROR(INDEX('FB 콘텐츠 data'!$A$1:$AH$25,MATCH('FB 신규발행'!$A80,'FB 콘텐츠 data'!$AR:$AR,0),MATCH(G$2,'FB 콘텐츠 data'!$A$1:$AH$1,0)),"")</f>
        <v/>
      </c>
      <c r="H80" s="197" t="str">
        <f t="shared" si="9"/>
        <v/>
      </c>
      <c r="I80" s="197" t="str">
        <f>IFERROR(INDEX('FB 콘텐츠 data'!$A$1:$AH$25,MATCH('FB 신규발행'!$A80,'FB 콘텐츠 data'!$AR:$AR,0),MATCH(I$2,'FB 콘텐츠 data'!$A$1:$AH$1,0)),"")</f>
        <v/>
      </c>
      <c r="J80" s="197" t="str">
        <f>IFERROR(INDEX('FB 콘텐츠 data'!$A$1:$AH$25,MATCH('FB 신규발행'!$A80,'FB 콘텐츠 data'!$AR:$AR,0),MATCH(J$2,'FB 콘텐츠 data'!$A$1:$AH$1,0)),"")</f>
        <v/>
      </c>
      <c r="K80" s="196" t="str">
        <f>IFERROR(INDEX('FB 콘텐츠 data'!$A$1:$AR$25,MATCH('FB 신규발행'!$A80,'FB 콘텐츠 data'!$AR:$AR,0),MATCH(K$2,'FB 콘텐츠 data'!$A$1:$AR$1,0)),"")</f>
        <v/>
      </c>
      <c r="L80" s="197" t="str">
        <f>IFERROR(INDEX('FB 콘텐츠 data'!$A$1:$AH$25,MATCH('FB 신규발행'!$A80,'FB 콘텐츠 data'!$AR:$AR,0),MATCH(L$2,'FB 콘텐츠 data'!$A$1:$AH$1,0)),"")</f>
        <v/>
      </c>
      <c r="M80" s="197" t="str">
        <f>IFERROR(INDEX('FB 콘텐츠 data'!$A$1:$AH$25,MATCH('FB 신규발행'!$A80,'FB 콘텐츠 data'!$AR:$AR,0),MATCH(M$2,'FB 콘텐츠 data'!$A$1:$AH$1,0)),"")</f>
        <v/>
      </c>
      <c r="N80" s="197" t="str">
        <f>IFERROR(INDEX('FB 콘텐츠 data'!$A$1:$AH$25,MATCH('FB 신규발행'!$A80,'FB 콘텐츠 data'!$AR:$AR,0),MATCH(N$2,'FB 콘텐츠 data'!$A$1:$AH$1,0)),"")</f>
        <v/>
      </c>
      <c r="O80" s="197" t="str">
        <f>IFERROR(INDEX('FB 콘텐츠 data'!$A$1:$AH$25,MATCH('FB 신규발행'!$A80,'FB 콘텐츠 data'!$AR:$AR,0),MATCH(O$2,'FB 콘텐츠 data'!$A$1:$AH$1,0)),"")</f>
        <v/>
      </c>
      <c r="P80" s="197" t="str">
        <f>IFERROR(INDEX('FB 콘텐츠 data'!$A$1:$AH$25,MATCH('FB 신규발행'!$A80,'FB 콘텐츠 data'!$AR:$AR,0),MATCH(P$2,'FB 콘텐츠 data'!$A$1:$AH$1,0)),"")</f>
        <v/>
      </c>
      <c r="Q80" s="197" t="str">
        <f>IFERROR(INDEX('FB 콘텐츠 data'!$A$1:$AH$25,MATCH('FB 신규발행'!$A80,'FB 콘텐츠 data'!$AR:$AR,0),MATCH(Q$2,'FB 콘텐츠 data'!$A$1:$AH$1,0)),"")</f>
        <v/>
      </c>
      <c r="R80" s="198" t="str">
        <f t="shared" si="10"/>
        <v/>
      </c>
      <c r="T80" s="125" t="str">
        <f t="shared" si="11"/>
        <v/>
      </c>
      <c r="U80" s="125" t="str">
        <f t="shared" si="12"/>
        <v/>
      </c>
      <c r="Y80" s="157"/>
    </row>
    <row r="81" spans="1:25" ht="17.45" customHeight="1">
      <c r="A81" s="156">
        <v>79</v>
      </c>
      <c r="B81" s="195" t="str">
        <f>IFERROR(INDEX('FB 콘텐츠 data'!AQ:AQ,MATCH('FB 신규발행'!A81,'FB 콘텐츠 data'!AR:AR,0)),"")</f>
        <v/>
      </c>
      <c r="C81" s="196" t="str">
        <f>IFERROR(INDEX('FB 콘텐츠 data'!$A$1:$AH$25,MATCH('FB 신규발행'!$A81,'FB 콘텐츠 data'!$AR:$AR,0),MATCH(C$2,'FB 콘텐츠 data'!$A$1:$AH$1,0)),"")</f>
        <v/>
      </c>
      <c r="D81" s="197" t="str">
        <f>IFERROR(INDEX('FB 콘텐츠 data'!$A$1:$AH$25,MATCH('FB 신규발행'!$A81,'FB 콘텐츠 data'!$AR:$AR,0),MATCH(D$2,'FB 콘텐츠 data'!$A$1:$AH$1,0)),"")</f>
        <v/>
      </c>
      <c r="E81" s="197" t="str">
        <f>IFERROR(INDEX('FB 콘텐츠 data'!$A$1:$AH$25,MATCH('FB 신규발행'!$A81,'FB 콘텐츠 data'!$AR:$AR,0),MATCH(E$2,'FB 콘텐츠 data'!$A$1:$AH$1,0)),"")</f>
        <v/>
      </c>
      <c r="F81" s="197" t="str">
        <f>IFERROR(INDEX('FB 콘텐츠 data'!$A$1:$AH$25,MATCH('FB 신규발행'!$A81,'FB 콘텐츠 data'!$AR:$AR,0),MATCH(F$2,'FB 콘텐츠 data'!$A$1:$AH$1,0)),"")</f>
        <v/>
      </c>
      <c r="G81" s="197" t="str">
        <f>IFERROR(INDEX('FB 콘텐츠 data'!$A$1:$AH$25,MATCH('FB 신규발행'!$A81,'FB 콘텐츠 data'!$AR:$AR,0),MATCH(G$2,'FB 콘텐츠 data'!$A$1:$AH$1,0)),"")</f>
        <v/>
      </c>
      <c r="H81" s="197" t="str">
        <f t="shared" si="9"/>
        <v/>
      </c>
      <c r="I81" s="197" t="str">
        <f>IFERROR(INDEX('FB 콘텐츠 data'!$A$1:$AH$25,MATCH('FB 신규발행'!$A81,'FB 콘텐츠 data'!$AR:$AR,0),MATCH(I$2,'FB 콘텐츠 data'!$A$1:$AH$1,0)),"")</f>
        <v/>
      </c>
      <c r="J81" s="197" t="str">
        <f>IFERROR(INDEX('FB 콘텐츠 data'!$A$1:$AH$25,MATCH('FB 신규발행'!$A81,'FB 콘텐츠 data'!$AR:$AR,0),MATCH(J$2,'FB 콘텐츠 data'!$A$1:$AH$1,0)),"")</f>
        <v/>
      </c>
      <c r="K81" s="196" t="str">
        <f>IFERROR(INDEX('FB 콘텐츠 data'!$A$1:$AR$25,MATCH('FB 신규발행'!$A81,'FB 콘텐츠 data'!$AR:$AR,0),MATCH(K$2,'FB 콘텐츠 data'!$A$1:$AR$1,0)),"")</f>
        <v/>
      </c>
      <c r="L81" s="197" t="str">
        <f>IFERROR(INDEX('FB 콘텐츠 data'!$A$1:$AH$25,MATCH('FB 신규발행'!$A81,'FB 콘텐츠 data'!$AR:$AR,0),MATCH(L$2,'FB 콘텐츠 data'!$A$1:$AH$1,0)),"")</f>
        <v/>
      </c>
      <c r="M81" s="197" t="str">
        <f>IFERROR(INDEX('FB 콘텐츠 data'!$A$1:$AH$25,MATCH('FB 신규발행'!$A81,'FB 콘텐츠 data'!$AR:$AR,0),MATCH(M$2,'FB 콘텐츠 data'!$A$1:$AH$1,0)),"")</f>
        <v/>
      </c>
      <c r="N81" s="197" t="str">
        <f>IFERROR(INDEX('FB 콘텐츠 data'!$A$1:$AH$25,MATCH('FB 신규발행'!$A81,'FB 콘텐츠 data'!$AR:$AR,0),MATCH(N$2,'FB 콘텐츠 data'!$A$1:$AH$1,0)),"")</f>
        <v/>
      </c>
      <c r="O81" s="197" t="str">
        <f>IFERROR(INDEX('FB 콘텐츠 data'!$A$1:$AH$25,MATCH('FB 신규발행'!$A81,'FB 콘텐츠 data'!$AR:$AR,0),MATCH(O$2,'FB 콘텐츠 data'!$A$1:$AH$1,0)),"")</f>
        <v/>
      </c>
      <c r="P81" s="197" t="str">
        <f>IFERROR(INDEX('FB 콘텐츠 data'!$A$1:$AH$25,MATCH('FB 신규발행'!$A81,'FB 콘텐츠 data'!$AR:$AR,0),MATCH(P$2,'FB 콘텐츠 data'!$A$1:$AH$1,0)),"")</f>
        <v/>
      </c>
      <c r="Q81" s="197" t="str">
        <f>IFERROR(INDEX('FB 콘텐츠 data'!$A$1:$AH$25,MATCH('FB 신규발행'!$A81,'FB 콘텐츠 data'!$AR:$AR,0),MATCH(Q$2,'FB 콘텐츠 data'!$A$1:$AH$1,0)),"")</f>
        <v/>
      </c>
      <c r="R81" s="198" t="str">
        <f t="shared" si="10"/>
        <v/>
      </c>
      <c r="T81" s="125" t="str">
        <f t="shared" si="11"/>
        <v/>
      </c>
      <c r="U81" s="125" t="str">
        <f t="shared" si="12"/>
        <v/>
      </c>
      <c r="Y81" s="157"/>
    </row>
    <row r="82" spans="1:25" ht="17.45" customHeight="1">
      <c r="A82" s="156">
        <v>80</v>
      </c>
      <c r="B82" s="195" t="str">
        <f>IFERROR(INDEX('FB 콘텐츠 data'!AQ:AQ,MATCH('FB 신규발행'!A82,'FB 콘텐츠 data'!AR:AR,0)),"")</f>
        <v/>
      </c>
      <c r="C82" s="196" t="str">
        <f>IFERROR(INDEX('FB 콘텐츠 data'!$A$1:$AH$25,MATCH('FB 신규발행'!$A82,'FB 콘텐츠 data'!$AR:$AR,0),MATCH(C$2,'FB 콘텐츠 data'!$A$1:$AH$1,0)),"")</f>
        <v/>
      </c>
      <c r="D82" s="197" t="str">
        <f>IFERROR(INDEX('FB 콘텐츠 data'!$A$1:$AH$25,MATCH('FB 신규발행'!$A82,'FB 콘텐츠 data'!$AR:$AR,0),MATCH(D$2,'FB 콘텐츠 data'!$A$1:$AH$1,0)),"")</f>
        <v/>
      </c>
      <c r="E82" s="197" t="str">
        <f>IFERROR(INDEX('FB 콘텐츠 data'!$A$1:$AH$25,MATCH('FB 신규발행'!$A82,'FB 콘텐츠 data'!$AR:$AR,0),MATCH(E$2,'FB 콘텐츠 data'!$A$1:$AH$1,0)),"")</f>
        <v/>
      </c>
      <c r="F82" s="197" t="str">
        <f>IFERROR(INDEX('FB 콘텐츠 data'!$A$1:$AH$25,MATCH('FB 신규발행'!$A82,'FB 콘텐츠 data'!$AR:$AR,0),MATCH(F$2,'FB 콘텐츠 data'!$A$1:$AH$1,0)),"")</f>
        <v/>
      </c>
      <c r="G82" s="197" t="str">
        <f>IFERROR(INDEX('FB 콘텐츠 data'!$A$1:$AH$25,MATCH('FB 신규발행'!$A82,'FB 콘텐츠 data'!$AR:$AR,0),MATCH(G$2,'FB 콘텐츠 data'!$A$1:$AH$1,0)),"")</f>
        <v/>
      </c>
      <c r="H82" s="197" t="str">
        <f t="shared" si="9"/>
        <v/>
      </c>
      <c r="I82" s="197" t="str">
        <f>IFERROR(INDEX('FB 콘텐츠 data'!$A$1:$AH$25,MATCH('FB 신규발행'!$A82,'FB 콘텐츠 data'!$AR:$AR,0),MATCH(I$2,'FB 콘텐츠 data'!$A$1:$AH$1,0)),"")</f>
        <v/>
      </c>
      <c r="J82" s="197" t="str">
        <f>IFERROR(INDEX('FB 콘텐츠 data'!$A$1:$AH$25,MATCH('FB 신규발행'!$A82,'FB 콘텐츠 data'!$AR:$AR,0),MATCH(J$2,'FB 콘텐츠 data'!$A$1:$AH$1,0)),"")</f>
        <v/>
      </c>
      <c r="K82" s="196" t="str">
        <f>IFERROR(INDEX('FB 콘텐츠 data'!$A$1:$AR$25,MATCH('FB 신규발행'!$A82,'FB 콘텐츠 data'!$AR:$AR,0),MATCH(K$2,'FB 콘텐츠 data'!$A$1:$AR$1,0)),"")</f>
        <v/>
      </c>
      <c r="L82" s="197" t="str">
        <f>IFERROR(INDEX('FB 콘텐츠 data'!$A$1:$AH$25,MATCH('FB 신규발행'!$A82,'FB 콘텐츠 data'!$AR:$AR,0),MATCH(L$2,'FB 콘텐츠 data'!$A$1:$AH$1,0)),"")</f>
        <v/>
      </c>
      <c r="M82" s="197" t="str">
        <f>IFERROR(INDEX('FB 콘텐츠 data'!$A$1:$AH$25,MATCH('FB 신규발행'!$A82,'FB 콘텐츠 data'!$AR:$AR,0),MATCH(M$2,'FB 콘텐츠 data'!$A$1:$AH$1,0)),"")</f>
        <v/>
      </c>
      <c r="N82" s="197" t="str">
        <f>IFERROR(INDEX('FB 콘텐츠 data'!$A$1:$AH$25,MATCH('FB 신규발행'!$A82,'FB 콘텐츠 data'!$AR:$AR,0),MATCH(N$2,'FB 콘텐츠 data'!$A$1:$AH$1,0)),"")</f>
        <v/>
      </c>
      <c r="O82" s="197" t="str">
        <f>IFERROR(INDEX('FB 콘텐츠 data'!$A$1:$AH$25,MATCH('FB 신규발행'!$A82,'FB 콘텐츠 data'!$AR:$AR,0),MATCH(O$2,'FB 콘텐츠 data'!$A$1:$AH$1,0)),"")</f>
        <v/>
      </c>
      <c r="P82" s="197" t="str">
        <f>IFERROR(INDEX('FB 콘텐츠 data'!$A$1:$AH$25,MATCH('FB 신규발행'!$A82,'FB 콘텐츠 data'!$AR:$AR,0),MATCH(P$2,'FB 콘텐츠 data'!$A$1:$AH$1,0)),"")</f>
        <v/>
      </c>
      <c r="Q82" s="197" t="str">
        <f>IFERROR(INDEX('FB 콘텐츠 data'!$A$1:$AH$25,MATCH('FB 신규발행'!$A82,'FB 콘텐츠 data'!$AR:$AR,0),MATCH(Q$2,'FB 콘텐츠 data'!$A$1:$AH$1,0)),"")</f>
        <v/>
      </c>
      <c r="R82" s="198" t="str">
        <f t="shared" si="10"/>
        <v/>
      </c>
      <c r="T82" s="125" t="str">
        <f t="shared" si="11"/>
        <v/>
      </c>
      <c r="U82" s="125" t="str">
        <f t="shared" si="12"/>
        <v/>
      </c>
      <c r="Y82" s="157"/>
    </row>
  </sheetData>
  <phoneticPr fontId="1" type="noConversion"/>
  <conditionalFormatting sqref="E1:R1048576">
    <cfRule type="expression" dxfId="2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K4" sqref="K4:N7"/>
    </sheetView>
  </sheetViews>
  <sheetFormatPr defaultColWidth="8.75" defaultRowHeight="15"/>
  <cols>
    <col min="1" max="2" width="8.75" style="105"/>
    <col min="3" max="3" width="9.125" style="105" bestFit="1" customWidth="1"/>
    <col min="4" max="18" width="8.75" style="105"/>
    <col min="19" max="19" width="8.75" style="114"/>
    <col min="20" max="16384" width="8.75" style="105"/>
  </cols>
  <sheetData>
    <row r="1" spans="1:19" s="158" customFormat="1">
      <c r="S1" s="114"/>
    </row>
    <row r="2" spans="1:19" s="161" customFormat="1">
      <c r="A2" s="159" t="str">
        <f>HYPERLINK(INDEX('FB 콘텐츠 data'!E:E,MATCH(INDEX('FB 신규발행'!$A:$A,MATCH(1,'FB 신규발행'!$T:$T,0)),'FB 콘텐츠 data'!AR:AR,0)),INDEX('FB 신규발행'!$D:$D,MATCH(1,'FB 신규발행'!$T:$T,0)))</f>
        <v>[EVENT] 에너지食 Ep. 3</v>
      </c>
      <c r="B2" s="160"/>
      <c r="D2" s="160"/>
      <c r="F2" s="159" t="str">
        <f>HYPERLINK(INDEX('FB 콘텐츠 data'!E:E,MATCH(INDEX('FB 신규발행'!$A:$A,MATCH(2,'FB 신규발행'!$T:$T,0)),'FB 콘텐츠 data'!AR:AR,0)),INDEX('FB 신규발행'!$D:$D,MATCH(2,'FB 신규발행'!$T:$T,0)))</f>
        <v>광복절 기념 콘텐츠</v>
      </c>
      <c r="G2" s="160"/>
      <c r="I2" s="160"/>
      <c r="K2" s="159" t="str">
        <f>HYPERLINK(INDEX('FB 콘텐츠 data'!E:E,MATCH(INDEX('FB 신규발행'!$A:$A,MATCH(3,'FB 신규발행'!$T:$T,0)),'FB 콘텐츠 data'!AR:AR,0)),INDEX('FB 신규발행'!$D:$D,MATCH(3,'FB 신규발행'!$T:$T,0)))</f>
        <v>데일리 슼슼 - 캐리어</v>
      </c>
      <c r="L2" s="160"/>
      <c r="M2" s="160"/>
      <c r="N2" s="160"/>
      <c r="S2" s="162"/>
    </row>
    <row r="3" spans="1:19">
      <c r="D3" s="163"/>
      <c r="I3" s="163"/>
      <c r="N3" s="163"/>
      <c r="Q3" s="161"/>
    </row>
    <row r="4" spans="1:19" ht="15.75" thickBot="1">
      <c r="A4" s="199" t="s">
        <v>131</v>
      </c>
      <c r="B4" s="200">
        <f>VLOOKUP(INDEX('FB 신규발행'!$D:$D,MATCH(1,'FB 신규발행'!$T:$T,0)),'FB 신규발행'!$D:$R,MATCH(A4,'FB 신규발행'!$D$2:$R$2,FALSE),FALSE)</f>
        <v>3168</v>
      </c>
      <c r="C4" s="201" t="s">
        <v>55</v>
      </c>
      <c r="D4" s="200">
        <f>VLOOKUP(INDEX('FB 신규발행'!$D:$D,MATCH(1,'FB 신규발행'!$T:$T,0)),'FB 신규발행'!$D:$R,MATCH(C4,'FB 신규발행'!$D$2:$R$2,FALSE),FALSE)</f>
        <v>4793</v>
      </c>
      <c r="E4" s="202"/>
      <c r="F4" s="199" t="s">
        <v>131</v>
      </c>
      <c r="G4" s="200">
        <f>VLOOKUP(INDEX('FB 신규발행'!$D:$D,MATCH(2,'FB 신규발행'!$T:$T,0)),'FB 신규발행'!$D:$R,MATCH(F4,'FB 신규발행'!$D$2:$R$2,FALSE),FALSE)</f>
        <v>11724</v>
      </c>
      <c r="H4" s="201" t="s">
        <v>55</v>
      </c>
      <c r="I4" s="200">
        <f>VLOOKUP(INDEX('FB 신규발행'!$D:$D,MATCH(2,'FB 신규발행'!$T:$T,0)),'FB 신규발행'!$D:$R,MATCH(H4,'FB 신규발행'!$D$2:$R$2,FALSE),FALSE)</f>
        <v>13011</v>
      </c>
      <c r="J4" s="202"/>
      <c r="K4" s="199" t="s">
        <v>131</v>
      </c>
      <c r="L4" s="200">
        <f>VLOOKUP(INDEX('FB 신규발행'!$D:$D,MATCH(3,'FB 신규발행'!$T:$T,0)),'FB 신규발행'!$D:$R,MATCH(K4,'FB 신규발행'!$D$2:$R$2,FALSE),FALSE)</f>
        <v>10278</v>
      </c>
      <c r="M4" s="201" t="s">
        <v>55</v>
      </c>
      <c r="N4" s="200">
        <f>VLOOKUP(INDEX('FB 신규발행'!$D:$D,MATCH(3,'FB 신규발행'!$T:$T,0)),'FB 신규발행'!$D:$R,MATCH(M4,'FB 신규발행'!$D$2:$R$2,FALSE),FALSE)</f>
        <v>16541</v>
      </c>
      <c r="Q4" s="161"/>
    </row>
    <row r="5" spans="1:19" ht="16.5" thickTop="1" thickBot="1">
      <c r="A5" s="203" t="s">
        <v>17</v>
      </c>
      <c r="B5" s="200">
        <f>VLOOKUP(INDEX('FB 신규발행'!$D:$D,MATCH(1,'FB 신규발행'!$T:$T,0)),'FB 신규발행'!$D:$R,MATCH(A5,'FB 신규발행'!$D$2:$R$2,FALSE),FALSE)</f>
        <v>927</v>
      </c>
      <c r="C5" s="204" t="s">
        <v>18</v>
      </c>
      <c r="D5" s="200">
        <f>VLOOKUP(INDEX('FB 신규발행'!$D:$D,MATCH(1,'FB 신규발행'!$T:$T,0)),'FB 신규발행'!$D:$R,MATCH(C5,'FB 신규발행'!$D$2:$R$2,FALSE),FALSE)</f>
        <v>556</v>
      </c>
      <c r="E5" s="202"/>
      <c r="F5" s="203" t="s">
        <v>17</v>
      </c>
      <c r="G5" s="200">
        <f>VLOOKUP(INDEX('FB 신규발행'!$D:$D,MATCH(2,'FB 신규발행'!$T:$T,0)),'FB 신규발행'!$D:$R,MATCH(F5,'FB 신규발행'!$D$2:$R$2,FALSE),FALSE)</f>
        <v>1103</v>
      </c>
      <c r="H5" s="204" t="s">
        <v>18</v>
      </c>
      <c r="I5" s="200">
        <f>VLOOKUP(INDEX('FB 신규발행'!$D:$D,MATCH(2,'FB 신규발행'!$T:$T,0)),'FB 신규발행'!$D:$R,MATCH(H5,'FB 신규발행'!$D$2:$R$2,FALSE),FALSE)</f>
        <v>34</v>
      </c>
      <c r="J5" s="202"/>
      <c r="K5" s="203" t="s">
        <v>17</v>
      </c>
      <c r="L5" s="200">
        <f>VLOOKUP(INDEX('FB 신규발행'!$D:$D,MATCH(3,'FB 신규발행'!$T:$T,0)),'FB 신규발행'!$D:$R,MATCH(K5,'FB 신규발행'!$D$2:$R$2,FALSE),FALSE)</f>
        <v>886</v>
      </c>
      <c r="M5" s="204" t="s">
        <v>18</v>
      </c>
      <c r="N5" s="200">
        <f>VLOOKUP(INDEX('FB 신규발행'!$D:$D,MATCH(3,'FB 신규발행'!$T:$T,0)),'FB 신규발행'!$D:$R,MATCH(M5,'FB 신규발행'!$D$2:$R$2,FALSE),FALSE)</f>
        <v>20</v>
      </c>
      <c r="Q5" s="161"/>
    </row>
    <row r="6" spans="1:19" ht="16.5" thickTop="1" thickBot="1">
      <c r="A6" s="205" t="s">
        <v>45</v>
      </c>
      <c r="B6" s="200">
        <f>VLOOKUP(INDEX('FB 신규발행'!$D:$D,MATCH(1,'FB 신규발행'!$T:$T,0)),'FB 신규발행'!$D:$R,MATCH(A6,'FB 신규발행'!$D$2:$R$2,FALSE),FALSE)</f>
        <v>65</v>
      </c>
      <c r="C6" s="204" t="s">
        <v>56</v>
      </c>
      <c r="D6" s="200">
        <f>VLOOKUP(INDEX('FB 신규발행'!$D:$D,MATCH(1,'FB 신규발행'!$T:$T,0)),'FB 신규발행'!$D:$R,MATCH(C6,'FB 신규발행'!$D$2:$R$2,FALSE),FALSE)</f>
        <v>408</v>
      </c>
      <c r="E6" s="202"/>
      <c r="F6" s="205" t="s">
        <v>45</v>
      </c>
      <c r="G6" s="200">
        <f>VLOOKUP(INDEX('FB 신규발행'!$D:$D,MATCH(2,'FB 신규발행'!$T:$T,0)),'FB 신규발행'!$D:$R,MATCH(F6,'FB 신규발행'!$D$2:$R$2,FALSE),FALSE)</f>
        <v>41</v>
      </c>
      <c r="H6" s="204" t="s">
        <v>56</v>
      </c>
      <c r="I6" s="200">
        <f>VLOOKUP(INDEX('FB 신규발행'!$D:$D,MATCH(2,'FB 신규발행'!$T:$T,0)),'FB 신규발행'!$D:$R,MATCH(H6,'FB 신규발행'!$D$2:$R$2,FALSE),FALSE)</f>
        <v>623</v>
      </c>
      <c r="J6" s="202"/>
      <c r="K6" s="205" t="s">
        <v>45</v>
      </c>
      <c r="L6" s="200">
        <f>VLOOKUP(INDEX('FB 신규발행'!$D:$D,MATCH(3,'FB 신규발행'!$T:$T,0)),'FB 신규발행'!$D:$R,MATCH(K6,'FB 신규발행'!$D$2:$R$2,FALSE),FALSE)</f>
        <v>8</v>
      </c>
      <c r="M6" s="204" t="s">
        <v>56</v>
      </c>
      <c r="N6" s="200">
        <f>VLOOKUP(INDEX('FB 신규발행'!$D:$D,MATCH(3,'FB 신규발행'!$T:$T,0)),'FB 신규발행'!$D:$R,MATCH(M6,'FB 신규발행'!$D$2:$R$2,FALSE),FALSE)</f>
        <v>278</v>
      </c>
      <c r="Q6" s="161"/>
    </row>
    <row r="7" spans="1:19" ht="16.5" thickTop="1" thickBot="1">
      <c r="A7" s="206" t="s">
        <v>80</v>
      </c>
      <c r="B7" s="200">
        <f>VLOOKUP(INDEX('FB 신규발행'!$D:$D,MATCH(1,'FB 신규발행'!$T:$T,0)),'FB 신규발행'!$D:$R,MATCH(A7,'FB 신규발행'!$D$2:$R$2,FALSE),FALSE)</f>
        <v>1956</v>
      </c>
      <c r="C7" s="204" t="s">
        <v>81</v>
      </c>
      <c r="D7" s="207">
        <f>B7/B4</f>
        <v>0.61742424242424243</v>
      </c>
      <c r="E7" s="202"/>
      <c r="F7" s="206" t="s">
        <v>54</v>
      </c>
      <c r="G7" s="200">
        <f>VLOOKUP(INDEX('FB 신규발행'!$D:$D,MATCH(2,'FB 신규발행'!$T:$T,0)),'FB 신규발행'!$D:$R,MATCH(F7,'FB 신규발행'!$D$2:$R$2,FALSE),FALSE)</f>
        <v>1801</v>
      </c>
      <c r="H7" s="204" t="s">
        <v>58</v>
      </c>
      <c r="I7" s="207">
        <f>G7/G4</f>
        <v>0.15361651313544866</v>
      </c>
      <c r="J7" s="202"/>
      <c r="K7" s="206" t="s">
        <v>54</v>
      </c>
      <c r="L7" s="200">
        <f>VLOOKUP(INDEX('FB 신규발행'!$D:$D,MATCH(3,'FB 신규발행'!$T:$T,0)),'FB 신규발행'!$D:$R,MATCH(K7,'FB 신규발행'!$D$2:$R$2,FALSE),FALSE)</f>
        <v>1192</v>
      </c>
      <c r="M7" s="204" t="s">
        <v>58</v>
      </c>
      <c r="N7" s="207">
        <f>L7/L4</f>
        <v>0.11597587079198288</v>
      </c>
    </row>
    <row r="8" spans="1:19" ht="15.75" thickTop="1"/>
    <row r="9" spans="1:19">
      <c r="B9" s="114"/>
    </row>
    <row r="10" spans="1:19">
      <c r="B10" s="105" t="s">
        <v>68</v>
      </c>
    </row>
    <row r="11" spans="1:19">
      <c r="B11" s="105" t="s">
        <v>103</v>
      </c>
    </row>
    <row r="24" spans="3:3">
      <c r="C24" s="172"/>
    </row>
    <row r="25" spans="3:3">
      <c r="C25" s="172"/>
    </row>
    <row r="33" spans="3:3">
      <c r="C33" s="17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workbookViewId="0">
      <selection activeCell="R15" sqref="R15"/>
    </sheetView>
  </sheetViews>
  <sheetFormatPr defaultRowHeight="16.5"/>
  <cols>
    <col min="1" max="1" width="60.25" style="46" customWidth="1"/>
    <col min="2" max="2" width="8.75" style="46"/>
    <col min="3" max="3" width="10.75" style="46" bestFit="1" customWidth="1"/>
    <col min="4" max="15" width="8.75" style="46"/>
    <col min="16" max="17" width="9" style="46"/>
    <col min="18" max="18" width="10.875" bestFit="1" customWidth="1"/>
  </cols>
  <sheetData>
    <row r="1" spans="1:23">
      <c r="A1" s="46" t="s">
        <v>33</v>
      </c>
      <c r="B1" s="46" t="s">
        <v>34</v>
      </c>
      <c r="C1" s="46" t="s">
        <v>35</v>
      </c>
      <c r="D1" s="46" t="s">
        <v>37</v>
      </c>
      <c r="E1" s="46" t="s">
        <v>40</v>
      </c>
      <c r="F1" s="46" t="s">
        <v>109</v>
      </c>
      <c r="G1" s="46" t="s">
        <v>44</v>
      </c>
      <c r="H1" s="46" t="s">
        <v>48</v>
      </c>
      <c r="I1" s="46" t="s">
        <v>67</v>
      </c>
      <c r="J1" s="46" t="s">
        <v>45</v>
      </c>
      <c r="K1" s="46" t="s">
        <v>85</v>
      </c>
      <c r="L1" s="46" t="s">
        <v>72</v>
      </c>
      <c r="M1" s="46" t="s">
        <v>114</v>
      </c>
      <c r="N1" s="46" t="s">
        <v>186</v>
      </c>
      <c r="O1" s="46" t="s">
        <v>17</v>
      </c>
      <c r="P1" s="46" t="s">
        <v>18</v>
      </c>
      <c r="Q1" s="46" t="s">
        <v>73</v>
      </c>
    </row>
    <row r="2" spans="1:23">
      <c r="A2" s="46" t="s">
        <v>210</v>
      </c>
      <c r="B2" s="46">
        <v>0</v>
      </c>
      <c r="C2" s="55">
        <v>45506</v>
      </c>
      <c r="D2" s="46" t="s">
        <v>243</v>
      </c>
      <c r="E2" s="46" t="s">
        <v>208</v>
      </c>
      <c r="G2" s="46" t="s">
        <v>128</v>
      </c>
      <c r="H2" s="46">
        <v>28663</v>
      </c>
      <c r="I2" s="46">
        <v>17354</v>
      </c>
      <c r="J2" s="46">
        <v>1</v>
      </c>
      <c r="K2" s="46">
        <v>431</v>
      </c>
      <c r="L2" s="46">
        <v>57</v>
      </c>
      <c r="M2" s="46" t="s">
        <v>185</v>
      </c>
      <c r="N2" s="46" t="s">
        <v>185</v>
      </c>
      <c r="O2" s="46">
        <v>137</v>
      </c>
      <c r="P2" s="46">
        <v>2</v>
      </c>
      <c r="Q2" s="46">
        <v>125</v>
      </c>
      <c r="R2" s="38">
        <f>IF(C2="","",IFERROR(DATE(MID(C2,7,4),LEFT(C2,2),MID(C2,4,2)),C2))</f>
        <v>45506</v>
      </c>
      <c r="S2">
        <f>IFERROR(RANK(V2,V:V,0)+COUNTIF($V$1:V1,V2),"")</f>
        <v>10</v>
      </c>
      <c r="V2" s="102">
        <f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1.5270254696323614E-2</v>
      </c>
      <c r="W2" s="56" t="s">
        <v>116</v>
      </c>
    </row>
    <row r="3" spans="1:23">
      <c r="A3" s="46" t="s">
        <v>212</v>
      </c>
      <c r="B3" s="46">
        <v>0</v>
      </c>
      <c r="C3" s="55">
        <v>45509</v>
      </c>
      <c r="D3" s="46" t="s">
        <v>244</v>
      </c>
      <c r="E3" s="46" t="s">
        <v>187</v>
      </c>
      <c r="G3" s="46" t="s">
        <v>128</v>
      </c>
      <c r="H3" s="46">
        <v>7452</v>
      </c>
      <c r="I3" s="46">
        <v>5320</v>
      </c>
      <c r="J3" s="46">
        <v>6</v>
      </c>
      <c r="K3" s="46">
        <v>3</v>
      </c>
      <c r="L3" s="46">
        <v>1</v>
      </c>
      <c r="M3" s="46" t="s">
        <v>185</v>
      </c>
      <c r="N3" s="46" t="s">
        <v>185</v>
      </c>
      <c r="O3" s="46">
        <v>1245</v>
      </c>
      <c r="P3" s="46">
        <v>4</v>
      </c>
      <c r="Q3" s="46">
        <v>37</v>
      </c>
      <c r="R3" s="38">
        <f t="shared" ref="R3:R66" si="0">IF(C3="","",IFERROR(DATE(MID(C3,7,4),LEFT(C3,2),MID(C3,4,2)),C3))</f>
        <v>45509</v>
      </c>
      <c r="S3">
        <f>IFERROR(RANK(V3,V:V,0)+COUNTIF($V$1:V2,V3),"")</f>
        <v>5</v>
      </c>
      <c r="V3" s="102">
        <f t="shared" ref="V3:V66" si="1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0.24285714285714285</v>
      </c>
      <c r="W3" s="56"/>
    </row>
    <row r="4" spans="1:23">
      <c r="A4" s="46" t="s">
        <v>214</v>
      </c>
      <c r="B4" s="46">
        <v>0</v>
      </c>
      <c r="C4" s="55">
        <v>45510</v>
      </c>
      <c r="D4" s="46" t="s">
        <v>245</v>
      </c>
      <c r="E4" s="46" t="s">
        <v>187</v>
      </c>
      <c r="G4" s="46" t="s">
        <v>128</v>
      </c>
      <c r="H4" s="46">
        <v>30968</v>
      </c>
      <c r="I4" s="46">
        <v>21506</v>
      </c>
      <c r="J4" s="46">
        <v>2</v>
      </c>
      <c r="K4" s="46">
        <v>326</v>
      </c>
      <c r="L4" s="46">
        <v>27</v>
      </c>
      <c r="M4" s="46" t="s">
        <v>185</v>
      </c>
      <c r="N4" s="46" t="s">
        <v>185</v>
      </c>
      <c r="O4" s="46">
        <v>1375</v>
      </c>
      <c r="P4" s="46">
        <v>8</v>
      </c>
      <c r="Q4" s="46">
        <v>46</v>
      </c>
      <c r="R4" s="38">
        <f t="shared" si="0"/>
        <v>45510</v>
      </c>
      <c r="S4">
        <f>IFERROR(RANK(V4,V:V,0)+COUNTIF($V$1:V3,V4),"")</f>
        <v>8</v>
      </c>
      <c r="V4" s="102">
        <f t="shared" si="1"/>
        <v>6.6539570352459776E-2</v>
      </c>
      <c r="W4" s="56"/>
    </row>
    <row r="5" spans="1:23">
      <c r="A5" s="46" t="s">
        <v>216</v>
      </c>
      <c r="B5" s="46">
        <v>298</v>
      </c>
      <c r="C5" s="55">
        <v>45511</v>
      </c>
      <c r="D5" s="46" t="s">
        <v>246</v>
      </c>
      <c r="E5" s="46" t="s">
        <v>188</v>
      </c>
      <c r="G5" s="46" t="s">
        <v>128</v>
      </c>
      <c r="H5" s="46">
        <v>16342</v>
      </c>
      <c r="I5" s="46">
        <v>11366</v>
      </c>
      <c r="J5" s="46">
        <v>1</v>
      </c>
      <c r="K5" s="46" t="s">
        <v>185</v>
      </c>
      <c r="L5" s="46">
        <v>1</v>
      </c>
      <c r="M5" s="46">
        <v>16305</v>
      </c>
      <c r="N5" s="46" t="s">
        <v>247</v>
      </c>
      <c r="O5" s="46">
        <v>816</v>
      </c>
      <c r="P5" s="46">
        <v>2</v>
      </c>
      <c r="Q5" s="46">
        <v>6</v>
      </c>
      <c r="R5" s="38">
        <f t="shared" si="0"/>
        <v>45511</v>
      </c>
      <c r="S5">
        <f>IFERROR(RANK(V5,V:V,0)+COUNTIF($V$1:V4,V5),"")</f>
        <v>7</v>
      </c>
      <c r="V5" s="102">
        <f t="shared" si="1"/>
        <v>7.2584902340313215E-2</v>
      </c>
      <c r="W5" s="56"/>
    </row>
    <row r="6" spans="1:23">
      <c r="A6" s="46" t="s">
        <v>220</v>
      </c>
      <c r="B6" s="46">
        <v>0</v>
      </c>
      <c r="C6" s="55">
        <v>45516</v>
      </c>
      <c r="D6" s="46" t="s">
        <v>248</v>
      </c>
      <c r="E6" s="46" t="s">
        <v>187</v>
      </c>
      <c r="G6" s="46" t="s">
        <v>128</v>
      </c>
      <c r="H6" s="46">
        <v>5313</v>
      </c>
      <c r="I6" s="46">
        <v>3618</v>
      </c>
      <c r="J6" s="46">
        <v>5</v>
      </c>
      <c r="K6" s="46">
        <v>4</v>
      </c>
      <c r="L6" s="46">
        <v>1</v>
      </c>
      <c r="M6" s="46" t="s">
        <v>185</v>
      </c>
      <c r="N6" s="46" t="s">
        <v>185</v>
      </c>
      <c r="O6" s="46">
        <v>929</v>
      </c>
      <c r="P6" s="46">
        <v>2</v>
      </c>
      <c r="Q6" s="46">
        <v>22</v>
      </c>
      <c r="R6" s="38">
        <f t="shared" si="0"/>
        <v>45516</v>
      </c>
      <c r="S6">
        <f>IFERROR(RANK(V6,V:V,0)+COUNTIF($V$1:V5,V6),"")</f>
        <v>4</v>
      </c>
      <c r="V6" s="102">
        <f t="shared" si="1"/>
        <v>0.26478717523493644</v>
      </c>
      <c r="W6" s="56"/>
    </row>
    <row r="7" spans="1:23">
      <c r="A7" s="46" t="s">
        <v>222</v>
      </c>
      <c r="B7" s="46">
        <v>0</v>
      </c>
      <c r="C7" s="55">
        <v>45517</v>
      </c>
      <c r="D7" s="46" t="s">
        <v>249</v>
      </c>
      <c r="E7" s="46" t="s">
        <v>208</v>
      </c>
      <c r="G7" s="46" t="s">
        <v>128</v>
      </c>
      <c r="H7" s="46">
        <v>26051</v>
      </c>
      <c r="I7" s="46">
        <v>15619</v>
      </c>
      <c r="J7" s="46">
        <v>0</v>
      </c>
      <c r="K7" s="46">
        <v>414</v>
      </c>
      <c r="L7" s="46">
        <v>40</v>
      </c>
      <c r="M7" s="46" t="s">
        <v>185</v>
      </c>
      <c r="N7" s="46" t="s">
        <v>185</v>
      </c>
      <c r="O7" s="46">
        <v>164</v>
      </c>
      <c r="P7" s="46">
        <v>0</v>
      </c>
      <c r="Q7" s="46">
        <v>27</v>
      </c>
      <c r="R7" s="38">
        <f t="shared" si="0"/>
        <v>45517</v>
      </c>
      <c r="S7">
        <f>IFERROR(RANK(V7,V:V,0)+COUNTIF($V$1:V6,V7),"")</f>
        <v>11</v>
      </c>
      <c r="V7" s="102">
        <f t="shared" si="1"/>
        <v>1.2228695819194571E-2</v>
      </c>
      <c r="W7" s="56"/>
    </row>
    <row r="8" spans="1:23">
      <c r="A8" s="46" t="s">
        <v>224</v>
      </c>
      <c r="B8" s="46">
        <v>0</v>
      </c>
      <c r="C8" s="55">
        <v>45519</v>
      </c>
      <c r="D8" s="46" t="s">
        <v>250</v>
      </c>
      <c r="E8" s="46" t="s">
        <v>187</v>
      </c>
      <c r="G8" s="46" t="s">
        <v>128</v>
      </c>
      <c r="H8" s="46">
        <v>23067</v>
      </c>
      <c r="I8" s="46">
        <v>23067</v>
      </c>
      <c r="J8" s="46">
        <v>14</v>
      </c>
      <c r="K8" s="46">
        <v>48</v>
      </c>
      <c r="L8" s="46">
        <v>9</v>
      </c>
      <c r="M8" s="46" t="s">
        <v>185</v>
      </c>
      <c r="N8" s="46" t="s">
        <v>185</v>
      </c>
      <c r="O8" s="46">
        <v>3335</v>
      </c>
      <c r="P8" s="46">
        <v>11</v>
      </c>
      <c r="Q8" s="46">
        <v>54</v>
      </c>
      <c r="R8" s="38">
        <f t="shared" si="0"/>
        <v>45519</v>
      </c>
      <c r="S8">
        <f>IFERROR(RANK(V8,V:V,0)+COUNTIF($V$1:V7,V8),"")</f>
        <v>6</v>
      </c>
      <c r="V8" s="102">
        <f t="shared" si="1"/>
        <v>0.14800364156587331</v>
      </c>
      <c r="W8" s="56"/>
    </row>
    <row r="9" spans="1:23">
      <c r="A9" s="46" t="s">
        <v>226</v>
      </c>
      <c r="B9" s="46">
        <v>0</v>
      </c>
      <c r="C9" s="55">
        <v>45523</v>
      </c>
      <c r="D9" s="46" t="s">
        <v>251</v>
      </c>
      <c r="E9" s="46" t="s">
        <v>187</v>
      </c>
      <c r="G9" s="46" t="s">
        <v>128</v>
      </c>
      <c r="H9" s="46">
        <v>8666</v>
      </c>
      <c r="I9" s="46">
        <v>5993</v>
      </c>
      <c r="J9" s="46">
        <v>0</v>
      </c>
      <c r="K9" s="46">
        <v>9</v>
      </c>
      <c r="L9" s="46">
        <v>0</v>
      </c>
      <c r="M9" s="46" t="s">
        <v>185</v>
      </c>
      <c r="N9" s="46" t="s">
        <v>185</v>
      </c>
      <c r="O9" s="46">
        <v>1572</v>
      </c>
      <c r="P9" s="46">
        <v>7</v>
      </c>
      <c r="Q9" s="46">
        <v>40</v>
      </c>
      <c r="R9" s="38">
        <f t="shared" si="0"/>
        <v>45523</v>
      </c>
      <c r="S9">
        <f>IFERROR(RANK(V9,V:V,0)+COUNTIF($V$1:V8,V9),"")</f>
        <v>3</v>
      </c>
      <c r="V9" s="102">
        <f t="shared" si="1"/>
        <v>0.27014850659102285</v>
      </c>
      <c r="W9" s="56"/>
    </row>
    <row r="10" spans="1:23">
      <c r="A10" s="46" t="s">
        <v>228</v>
      </c>
      <c r="B10" s="46">
        <v>216</v>
      </c>
      <c r="C10" s="55">
        <v>45524</v>
      </c>
      <c r="D10" s="46" t="s">
        <v>252</v>
      </c>
      <c r="E10" s="46" t="s">
        <v>188</v>
      </c>
      <c r="G10" s="46" t="s">
        <v>128</v>
      </c>
      <c r="H10" s="46">
        <v>31867</v>
      </c>
      <c r="I10" s="46">
        <v>21231</v>
      </c>
      <c r="J10" s="46">
        <v>2</v>
      </c>
      <c r="K10" s="46" t="s">
        <v>185</v>
      </c>
      <c r="L10" s="46">
        <v>7</v>
      </c>
      <c r="M10" s="46">
        <v>31428</v>
      </c>
      <c r="N10" s="46" t="s">
        <v>253</v>
      </c>
      <c r="O10" s="46">
        <v>76</v>
      </c>
      <c r="P10" s="46">
        <v>3</v>
      </c>
      <c r="Q10" s="46">
        <v>18</v>
      </c>
      <c r="R10" s="38">
        <f t="shared" si="0"/>
        <v>45524</v>
      </c>
      <c r="S10">
        <f>IFERROR(RANK(V10,V:V,0)+COUNTIF($V$1:V9,V10),"")</f>
        <v>12</v>
      </c>
      <c r="V10" s="102">
        <f t="shared" si="1"/>
        <v>4.6629927935565915E-3</v>
      </c>
      <c r="W10" s="56"/>
    </row>
    <row r="11" spans="1:23">
      <c r="A11" s="46" t="s">
        <v>232</v>
      </c>
      <c r="B11" s="46">
        <v>0</v>
      </c>
      <c r="C11" s="55">
        <v>45527</v>
      </c>
      <c r="D11" s="46" t="s">
        <v>254</v>
      </c>
      <c r="E11" s="46" t="s">
        <v>187</v>
      </c>
      <c r="G11" s="46" t="s">
        <v>128</v>
      </c>
      <c r="H11" s="46">
        <v>8729</v>
      </c>
      <c r="I11" s="46">
        <v>5633</v>
      </c>
      <c r="J11" s="46">
        <v>20</v>
      </c>
      <c r="K11" s="46">
        <v>705</v>
      </c>
      <c r="L11" s="46">
        <v>213</v>
      </c>
      <c r="M11" s="46" t="s">
        <v>185</v>
      </c>
      <c r="N11" s="46" t="s">
        <v>185</v>
      </c>
      <c r="O11" s="46">
        <v>1088</v>
      </c>
      <c r="P11" s="46">
        <v>1221</v>
      </c>
      <c r="Q11" s="46">
        <v>68</v>
      </c>
      <c r="R11" s="38">
        <f t="shared" si="0"/>
        <v>45527</v>
      </c>
      <c r="S11">
        <f>IFERROR(RANK(V11,V:V,0)+COUNTIF($V$1:V10,V11),"")</f>
        <v>1</v>
      </c>
      <c r="V11" s="102">
        <f t="shared" si="1"/>
        <v>0.42552813775963072</v>
      </c>
      <c r="W11" s="56"/>
    </row>
    <row r="12" spans="1:23">
      <c r="A12" s="46" t="s">
        <v>234</v>
      </c>
      <c r="B12" s="46">
        <v>0</v>
      </c>
      <c r="C12" s="55">
        <v>45530</v>
      </c>
      <c r="D12" s="46" t="s">
        <v>255</v>
      </c>
      <c r="E12" s="46" t="s">
        <v>187</v>
      </c>
      <c r="G12" s="46" t="s">
        <v>128</v>
      </c>
      <c r="H12" s="46">
        <v>5898</v>
      </c>
      <c r="I12" s="46">
        <v>3996</v>
      </c>
      <c r="J12" s="46">
        <v>0</v>
      </c>
      <c r="K12" s="46">
        <v>3</v>
      </c>
      <c r="L12" s="46">
        <v>0</v>
      </c>
      <c r="M12" s="46" t="s">
        <v>185</v>
      </c>
      <c r="N12" s="46" t="s">
        <v>185</v>
      </c>
      <c r="O12" s="46">
        <v>1214</v>
      </c>
      <c r="P12" s="46">
        <v>6</v>
      </c>
      <c r="Q12" s="46">
        <v>21</v>
      </c>
      <c r="R12" s="38">
        <f t="shared" si="0"/>
        <v>45530</v>
      </c>
      <c r="S12">
        <f>IFERROR(RANK(V12,V:V,0)+COUNTIF($V$1:V11,V12),"")</f>
        <v>2</v>
      </c>
      <c r="V12" s="102">
        <f t="shared" si="1"/>
        <v>0.31056056056056058</v>
      </c>
      <c r="W12" s="56"/>
    </row>
    <row r="13" spans="1:23">
      <c r="A13" s="46" t="s">
        <v>236</v>
      </c>
      <c r="B13" s="46">
        <v>110</v>
      </c>
      <c r="C13" s="55">
        <v>45530</v>
      </c>
      <c r="D13" s="46" t="s">
        <v>256</v>
      </c>
      <c r="E13" s="46" t="s">
        <v>188</v>
      </c>
      <c r="G13" s="46" t="s">
        <v>128</v>
      </c>
      <c r="H13" s="46">
        <v>48976</v>
      </c>
      <c r="I13" s="46">
        <v>34317</v>
      </c>
      <c r="J13" s="46">
        <v>0</v>
      </c>
      <c r="K13" s="46" t="s">
        <v>185</v>
      </c>
      <c r="L13" s="46">
        <v>0</v>
      </c>
      <c r="M13" s="46">
        <v>47740</v>
      </c>
      <c r="N13" s="46" t="s">
        <v>257</v>
      </c>
      <c r="O13" s="46">
        <v>58</v>
      </c>
      <c r="P13" s="46">
        <v>0</v>
      </c>
      <c r="Q13" s="46">
        <v>2</v>
      </c>
      <c r="R13" s="38">
        <f t="shared" si="0"/>
        <v>45530</v>
      </c>
      <c r="S13">
        <f>IFERROR(RANK(V13,V:V,0)+COUNTIF($V$1:V12,V13),"")</f>
        <v>13</v>
      </c>
      <c r="V13" s="102">
        <f t="shared" si="1"/>
        <v>1.7484045808200017E-3</v>
      </c>
      <c r="W13" s="56"/>
    </row>
    <row r="14" spans="1:23">
      <c r="A14" s="46" t="s">
        <v>258</v>
      </c>
      <c r="B14" s="46">
        <v>0</v>
      </c>
      <c r="C14" s="55">
        <v>45533</v>
      </c>
      <c r="D14" s="46" t="s">
        <v>259</v>
      </c>
      <c r="E14" s="46" t="s">
        <v>208</v>
      </c>
      <c r="G14" s="46" t="s">
        <v>128</v>
      </c>
      <c r="H14" s="46">
        <v>752</v>
      </c>
      <c r="I14" s="46">
        <v>600</v>
      </c>
      <c r="J14" s="46">
        <v>0</v>
      </c>
      <c r="K14" s="46">
        <v>10</v>
      </c>
      <c r="L14" s="46">
        <v>0</v>
      </c>
      <c r="M14" s="46" t="s">
        <v>185</v>
      </c>
      <c r="N14" s="46" t="s">
        <v>185</v>
      </c>
      <c r="O14" s="46">
        <v>34</v>
      </c>
      <c r="P14" s="46">
        <v>1</v>
      </c>
      <c r="Q14" s="46">
        <v>1</v>
      </c>
      <c r="R14" s="38">
        <f t="shared" si="0"/>
        <v>45533</v>
      </c>
      <c r="S14">
        <f>IFERROR(RANK(V14,V:V,0)+COUNTIF($V$1:V13,V14),"")</f>
        <v>9</v>
      </c>
      <c r="V14" s="102">
        <f t="shared" si="1"/>
        <v>0.06</v>
      </c>
      <c r="W14" s="56"/>
    </row>
    <row r="15" spans="1:23">
      <c r="C15" s="55"/>
      <c r="R15" s="38" t="str">
        <f t="shared" si="0"/>
        <v/>
      </c>
      <c r="S15" t="str">
        <f>IFERROR(RANK(V15,V:V,0)+COUNTIF($V$1:V14,V15),"")</f>
        <v/>
      </c>
      <c r="V15" s="102" t="str">
        <f t="shared" si="1"/>
        <v/>
      </c>
      <c r="W15" s="56"/>
    </row>
    <row r="16" spans="1:23">
      <c r="C16" s="55"/>
      <c r="R16" s="38" t="str">
        <f t="shared" si="0"/>
        <v/>
      </c>
      <c r="S16" t="str">
        <f>IFERROR(RANK(V16,V:V,0)+COUNTIF($V$1:V15,V16),"")</f>
        <v/>
      </c>
      <c r="V16" s="102" t="str">
        <f t="shared" si="1"/>
        <v/>
      </c>
      <c r="W16" s="56"/>
    </row>
    <row r="17" spans="3:23">
      <c r="C17" s="55"/>
      <c r="R17" s="38" t="str">
        <f t="shared" si="0"/>
        <v/>
      </c>
      <c r="S17" t="str">
        <f>IFERROR(RANK(V17,V:V,0)+COUNTIF($V$1:V16,V17),"")</f>
        <v/>
      </c>
      <c r="V17" s="102" t="str">
        <f t="shared" si="1"/>
        <v/>
      </c>
      <c r="W17" s="56"/>
    </row>
    <row r="18" spans="3:23">
      <c r="R18" s="38" t="str">
        <f t="shared" si="0"/>
        <v/>
      </c>
      <c r="S18" t="str">
        <f>IFERROR(RANK(V18,V:V,0)+COUNTIF($V$1:V17,V18),"")</f>
        <v/>
      </c>
      <c r="V18" s="102" t="str">
        <f t="shared" si="1"/>
        <v/>
      </c>
      <c r="W18" s="56"/>
    </row>
    <row r="19" spans="3:23">
      <c r="R19" s="38" t="str">
        <f t="shared" si="0"/>
        <v/>
      </c>
      <c r="S19" t="str">
        <f>IFERROR(RANK(V19,V:V,0)+COUNTIF($V$1:V18,V19),"")</f>
        <v/>
      </c>
      <c r="V19" s="102" t="str">
        <f t="shared" si="1"/>
        <v/>
      </c>
      <c r="W19" s="56"/>
    </row>
    <row r="20" spans="3:23">
      <c r="R20" s="38" t="str">
        <f t="shared" si="0"/>
        <v/>
      </c>
      <c r="S20" t="str">
        <f>IFERROR(RANK(V20,V:V,0)+COUNTIF($V$1:V19,V20),"")</f>
        <v/>
      </c>
      <c r="V20" s="102" t="str">
        <f t="shared" si="1"/>
        <v/>
      </c>
      <c r="W20" s="56"/>
    </row>
    <row r="21" spans="3:23">
      <c r="R21" s="38" t="str">
        <f t="shared" si="0"/>
        <v/>
      </c>
      <c r="S21" t="str">
        <f>IFERROR(RANK(V21,V:V,0)+COUNTIF($V$1:V20,V21),"")</f>
        <v/>
      </c>
      <c r="V21" s="102" t="str">
        <f t="shared" si="1"/>
        <v/>
      </c>
      <c r="W21" s="56"/>
    </row>
    <row r="22" spans="3:23">
      <c r="R22" s="38" t="str">
        <f t="shared" si="0"/>
        <v/>
      </c>
      <c r="S22" t="str">
        <f>IFERROR(RANK(V22,V:V,0)+COUNTIF($V$1:V21,V22),"")</f>
        <v/>
      </c>
      <c r="V22" s="102" t="str">
        <f t="shared" si="1"/>
        <v/>
      </c>
      <c r="W22" s="56"/>
    </row>
    <row r="23" spans="3:23">
      <c r="R23" s="38" t="str">
        <f t="shared" si="0"/>
        <v/>
      </c>
      <c r="S23" t="str">
        <f>IFERROR(RANK(V23,V:V,0)+COUNTIF($V$1:V22,V23),"")</f>
        <v/>
      </c>
      <c r="V23" s="102" t="str">
        <f t="shared" si="1"/>
        <v/>
      </c>
      <c r="W23" s="56"/>
    </row>
    <row r="24" spans="3:23">
      <c r="R24" s="38" t="str">
        <f t="shared" si="0"/>
        <v/>
      </c>
      <c r="S24" t="str">
        <f>IFERROR(RANK(V24,V:V,0)+COUNTIF($V$1:V23,V24),"")</f>
        <v/>
      </c>
      <c r="V24" s="102" t="str">
        <f t="shared" si="1"/>
        <v/>
      </c>
      <c r="W24" s="56"/>
    </row>
    <row r="25" spans="3:23">
      <c r="R25" s="38" t="str">
        <f t="shared" si="0"/>
        <v/>
      </c>
      <c r="S25" t="str">
        <f>IFERROR(RANK(V25,V:V,0)+COUNTIF($V$1:V24,V25),"")</f>
        <v/>
      </c>
      <c r="V25" s="102" t="str">
        <f t="shared" si="1"/>
        <v/>
      </c>
      <c r="W25" s="56"/>
    </row>
    <row r="26" spans="3:23">
      <c r="R26" s="38" t="str">
        <f t="shared" si="0"/>
        <v/>
      </c>
      <c r="S26" t="str">
        <f>IFERROR(RANK(V26,V:V,0)+COUNTIF($V$1:V25,V26),"")</f>
        <v/>
      </c>
      <c r="V26" s="102" t="str">
        <f t="shared" si="1"/>
        <v/>
      </c>
      <c r="W26" s="56"/>
    </row>
    <row r="27" spans="3:23">
      <c r="R27" s="38" t="str">
        <f t="shared" si="0"/>
        <v/>
      </c>
      <c r="S27" t="str">
        <f>IFERROR(RANK(V27,V:V,0)+COUNTIF($V$1:V26,V27),"")</f>
        <v/>
      </c>
      <c r="V27" s="102" t="str">
        <f t="shared" si="1"/>
        <v/>
      </c>
      <c r="W27" s="56"/>
    </row>
    <row r="28" spans="3:23">
      <c r="R28" s="38" t="str">
        <f t="shared" si="0"/>
        <v/>
      </c>
      <c r="S28" t="str">
        <f>IFERROR(RANK(V28,V:V,0)+COUNTIF($V$1:V27,V28),"")</f>
        <v/>
      </c>
      <c r="V28" s="102" t="str">
        <f t="shared" si="1"/>
        <v/>
      </c>
      <c r="W28" s="56"/>
    </row>
    <row r="29" spans="3:23">
      <c r="R29" s="38" t="str">
        <f t="shared" si="0"/>
        <v/>
      </c>
      <c r="S29" t="str">
        <f>IFERROR(RANK(V29,V:V,0)+COUNTIF($V$1:V28,V29),"")</f>
        <v/>
      </c>
      <c r="V29" s="102" t="str">
        <f t="shared" si="1"/>
        <v/>
      </c>
      <c r="W29" s="56"/>
    </row>
    <row r="30" spans="3:23">
      <c r="R30" s="38" t="str">
        <f t="shared" si="0"/>
        <v/>
      </c>
      <c r="S30" t="str">
        <f>IFERROR(RANK(V30,V:V,0)+COUNTIF($V$1:V29,V30),"")</f>
        <v/>
      </c>
      <c r="V30" s="102" t="str">
        <f t="shared" si="1"/>
        <v/>
      </c>
      <c r="W30" s="56"/>
    </row>
    <row r="31" spans="3:23">
      <c r="R31" s="38" t="str">
        <f t="shared" si="0"/>
        <v/>
      </c>
      <c r="S31" t="str">
        <f>IFERROR(RANK(V31,V:V,0)+COUNTIF($V$1:V30,V31),"")</f>
        <v/>
      </c>
      <c r="V31" s="102" t="str">
        <f t="shared" si="1"/>
        <v/>
      </c>
      <c r="W31" s="56"/>
    </row>
    <row r="32" spans="3:23">
      <c r="R32" s="38" t="str">
        <f t="shared" si="0"/>
        <v/>
      </c>
      <c r="S32" t="str">
        <f>IFERROR(RANK(V32,V:V,0)+COUNTIF($V$1:V31,V32),"")</f>
        <v/>
      </c>
      <c r="V32" s="102" t="str">
        <f t="shared" si="1"/>
        <v/>
      </c>
      <c r="W32" s="56"/>
    </row>
    <row r="33" spans="18:23">
      <c r="R33" s="38" t="str">
        <f t="shared" si="0"/>
        <v/>
      </c>
      <c r="S33" t="str">
        <f>IFERROR(RANK(V33,V:V,0)+COUNTIF($V$1:V32,V33),"")</f>
        <v/>
      </c>
      <c r="V33" s="102" t="str">
        <f t="shared" si="1"/>
        <v/>
      </c>
      <c r="W33" s="56"/>
    </row>
    <row r="34" spans="18:23">
      <c r="R34" s="38" t="str">
        <f t="shared" si="0"/>
        <v/>
      </c>
      <c r="S34" t="str">
        <f>IFERROR(RANK(V34,V:V,0)+COUNTIF($V$1:V33,V34),"")</f>
        <v/>
      </c>
      <c r="V34" s="102" t="str">
        <f t="shared" si="1"/>
        <v/>
      </c>
      <c r="W34" s="56"/>
    </row>
    <row r="35" spans="18:23">
      <c r="R35" s="38" t="str">
        <f t="shared" si="0"/>
        <v/>
      </c>
      <c r="S35" t="str">
        <f>IFERROR(RANK(V35,V:V,0)+COUNTIF($V$1:V34,V35),"")</f>
        <v/>
      </c>
      <c r="V35" s="102" t="str">
        <f t="shared" si="1"/>
        <v/>
      </c>
      <c r="W35" s="56"/>
    </row>
    <row r="36" spans="18:23">
      <c r="R36" s="38" t="str">
        <f t="shared" si="0"/>
        <v/>
      </c>
      <c r="S36" t="str">
        <f>IFERROR(RANK(V36,V:V,0)+COUNTIF($V$1:V35,V36),"")</f>
        <v/>
      </c>
      <c r="V36" s="102" t="str">
        <f t="shared" si="1"/>
        <v/>
      </c>
      <c r="W36" s="56"/>
    </row>
    <row r="37" spans="18:23">
      <c r="R37" s="38" t="str">
        <f t="shared" si="0"/>
        <v/>
      </c>
      <c r="S37" t="str">
        <f>IFERROR(RANK(V37,V:V,0)+COUNTIF($V$1:V36,V37),"")</f>
        <v/>
      </c>
      <c r="V37" s="102" t="str">
        <f t="shared" si="1"/>
        <v/>
      </c>
      <c r="W37" s="56"/>
    </row>
    <row r="38" spans="18:23">
      <c r="R38" s="38" t="str">
        <f t="shared" si="0"/>
        <v/>
      </c>
      <c r="S38" t="str">
        <f>IFERROR(RANK(V38,V:V,0)+COUNTIF($V$1:V37,V38),"")</f>
        <v/>
      </c>
      <c r="V38" s="102" t="str">
        <f t="shared" si="1"/>
        <v/>
      </c>
      <c r="W38" s="56"/>
    </row>
    <row r="39" spans="18:23">
      <c r="R39" s="38" t="str">
        <f t="shared" si="0"/>
        <v/>
      </c>
      <c r="S39" t="str">
        <f>IFERROR(RANK(V39,V:V,0)+COUNTIF($V$1:V38,V39),"")</f>
        <v/>
      </c>
      <c r="V39" s="102" t="str">
        <f t="shared" si="1"/>
        <v/>
      </c>
      <c r="W39" s="56"/>
    </row>
    <row r="40" spans="18:23">
      <c r="R40" s="38" t="str">
        <f t="shared" si="0"/>
        <v/>
      </c>
      <c r="S40" t="str">
        <f>IFERROR(RANK(V40,V:V,0)+COUNTIF($V$1:V39,V40),"")</f>
        <v/>
      </c>
      <c r="V40" s="102" t="str">
        <f t="shared" si="1"/>
        <v/>
      </c>
      <c r="W40" s="56"/>
    </row>
    <row r="41" spans="18:23">
      <c r="R41" s="38" t="str">
        <f t="shared" si="0"/>
        <v/>
      </c>
      <c r="S41" t="str">
        <f>IFERROR(RANK(V41,V:V,0)+COUNTIF($V$1:V40,V41),"")</f>
        <v/>
      </c>
      <c r="V41" s="102" t="str">
        <f t="shared" si="1"/>
        <v/>
      </c>
      <c r="W41" s="56"/>
    </row>
    <row r="42" spans="18:23">
      <c r="R42" s="38" t="str">
        <f t="shared" si="0"/>
        <v/>
      </c>
      <c r="S42" t="str">
        <f>IFERROR(RANK(V42,V:V,0)+COUNTIF($V$1:V41,V42),"")</f>
        <v/>
      </c>
      <c r="V42" s="102" t="str">
        <f t="shared" si="1"/>
        <v/>
      </c>
      <c r="W42" s="56"/>
    </row>
    <row r="43" spans="18:23">
      <c r="R43" s="38" t="str">
        <f t="shared" si="0"/>
        <v/>
      </c>
      <c r="S43" t="str">
        <f>IFERROR(RANK(V43,V:V,0)+COUNTIF($V$1:V42,V43),"")</f>
        <v/>
      </c>
      <c r="V43" s="102" t="str">
        <f t="shared" si="1"/>
        <v/>
      </c>
      <c r="W43" s="56"/>
    </row>
    <row r="44" spans="18:23">
      <c r="R44" s="38" t="str">
        <f t="shared" si="0"/>
        <v/>
      </c>
      <c r="S44" t="str">
        <f>IFERROR(RANK(V44,V:V,0)+COUNTIF($V$1:V43,V44),"")</f>
        <v/>
      </c>
      <c r="V44" s="102" t="str">
        <f t="shared" si="1"/>
        <v/>
      </c>
    </row>
    <row r="45" spans="18:23">
      <c r="R45" s="38" t="str">
        <f t="shared" si="0"/>
        <v/>
      </c>
      <c r="S45" t="str">
        <f>IFERROR(RANK(V45,V:V,0)+COUNTIF($V$1:V44,V45),"")</f>
        <v/>
      </c>
      <c r="V45" s="102" t="str">
        <f t="shared" si="1"/>
        <v/>
      </c>
    </row>
    <row r="46" spans="18:23">
      <c r="R46" s="38" t="str">
        <f t="shared" si="0"/>
        <v/>
      </c>
      <c r="S46" t="str">
        <f>IFERROR(RANK(V46,V:V,0)+COUNTIF($V$1:V45,V46),"")</f>
        <v/>
      </c>
      <c r="V46" s="102" t="str">
        <f t="shared" si="1"/>
        <v/>
      </c>
    </row>
    <row r="47" spans="18:23">
      <c r="R47" s="38" t="str">
        <f t="shared" si="0"/>
        <v/>
      </c>
      <c r="S47" t="str">
        <f>IFERROR(RANK(V47,V:V,0)+COUNTIF($V$1:V46,V47),"")</f>
        <v/>
      </c>
      <c r="V47" s="102" t="str">
        <f t="shared" si="1"/>
        <v/>
      </c>
    </row>
    <row r="48" spans="18:23">
      <c r="R48" s="38" t="str">
        <f t="shared" si="0"/>
        <v/>
      </c>
      <c r="S48" t="str">
        <f>IFERROR(RANK(V48,V:V,0)+COUNTIF($V$1:V47,V48),"")</f>
        <v/>
      </c>
      <c r="V48" s="102" t="str">
        <f t="shared" si="1"/>
        <v/>
      </c>
    </row>
    <row r="49" spans="18:22">
      <c r="R49" s="38" t="str">
        <f t="shared" si="0"/>
        <v/>
      </c>
      <c r="S49" t="str">
        <f>IFERROR(RANK(V49,V:V,0)+COUNTIF($V$1:V48,V49),"")</f>
        <v/>
      </c>
      <c r="V49" s="102" t="str">
        <f t="shared" si="1"/>
        <v/>
      </c>
    </row>
    <row r="50" spans="18:22">
      <c r="R50" s="38" t="str">
        <f t="shared" si="0"/>
        <v/>
      </c>
      <c r="S50" t="str">
        <f>IFERROR(RANK(V50,V:V,0)+COUNTIF($V$1:V49,V50),"")</f>
        <v/>
      </c>
      <c r="V50" s="102" t="str">
        <f t="shared" si="1"/>
        <v/>
      </c>
    </row>
    <row r="51" spans="18:22">
      <c r="R51" s="38" t="str">
        <f t="shared" si="0"/>
        <v/>
      </c>
      <c r="S51" t="str">
        <f>IFERROR(RANK(V51,V:V,0)+COUNTIF($V$1:V50,V51),"")</f>
        <v/>
      </c>
      <c r="V51" s="102" t="str">
        <f t="shared" si="1"/>
        <v/>
      </c>
    </row>
    <row r="52" spans="18:22">
      <c r="R52" s="38" t="str">
        <f t="shared" si="0"/>
        <v/>
      </c>
      <c r="S52" t="str">
        <f>IFERROR(RANK(V52,V:V,0)+COUNTIF($V$1:V51,V52),"")</f>
        <v/>
      </c>
      <c r="V52" s="102" t="str">
        <f t="shared" si="1"/>
        <v/>
      </c>
    </row>
    <row r="53" spans="18:22">
      <c r="R53" s="38" t="str">
        <f t="shared" si="0"/>
        <v/>
      </c>
      <c r="S53" t="str">
        <f>IFERROR(RANK(V53,V:V,0)+COUNTIF($V$1:V52,V53),"")</f>
        <v/>
      </c>
      <c r="V53" s="102" t="str">
        <f t="shared" si="1"/>
        <v/>
      </c>
    </row>
    <row r="54" spans="18:22">
      <c r="R54" s="38" t="str">
        <f t="shared" si="0"/>
        <v/>
      </c>
      <c r="S54" t="str">
        <f>IFERROR(RANK(V54,V:V,0)+COUNTIF($V$1:V53,V54),"")</f>
        <v/>
      </c>
      <c r="V54" s="102" t="str">
        <f t="shared" si="1"/>
        <v/>
      </c>
    </row>
    <row r="55" spans="18:22">
      <c r="R55" s="38" t="str">
        <f t="shared" si="0"/>
        <v/>
      </c>
      <c r="S55" t="str">
        <f>IFERROR(RANK(V55,V:V,0)+COUNTIF($V$1:V54,V55),"")</f>
        <v/>
      </c>
      <c r="V55" s="102" t="str">
        <f t="shared" si="1"/>
        <v/>
      </c>
    </row>
    <row r="56" spans="18:22">
      <c r="R56" s="38" t="str">
        <f t="shared" si="0"/>
        <v/>
      </c>
      <c r="S56" t="str">
        <f>IFERROR(RANK(V56,V:V,0)+COUNTIF($V$1:V55,V56),"")</f>
        <v/>
      </c>
      <c r="V56" s="102" t="str">
        <f t="shared" si="1"/>
        <v/>
      </c>
    </row>
    <row r="57" spans="18:22">
      <c r="R57" s="38" t="str">
        <f t="shared" si="0"/>
        <v/>
      </c>
      <c r="S57" t="str">
        <f>IFERROR(RANK(V57,V:V,0)+COUNTIF($V$1:V56,V57),"")</f>
        <v/>
      </c>
      <c r="V57" s="102" t="str">
        <f t="shared" si="1"/>
        <v/>
      </c>
    </row>
    <row r="58" spans="18:22">
      <c r="R58" s="38" t="str">
        <f t="shared" si="0"/>
        <v/>
      </c>
      <c r="S58" t="str">
        <f>IFERROR(RANK(V58,V:V,0)+COUNTIF($V$1:V57,V58),"")</f>
        <v/>
      </c>
      <c r="V58" s="102" t="str">
        <f t="shared" si="1"/>
        <v/>
      </c>
    </row>
    <row r="59" spans="18:22">
      <c r="R59" s="38" t="str">
        <f t="shared" si="0"/>
        <v/>
      </c>
      <c r="S59" t="str">
        <f>IFERROR(RANK(V59,V:V,0)+COUNTIF($V$1:V58,V59),"")</f>
        <v/>
      </c>
      <c r="V59" s="102" t="str">
        <f t="shared" si="1"/>
        <v/>
      </c>
    </row>
    <row r="60" spans="18:22">
      <c r="R60" s="38" t="str">
        <f t="shared" si="0"/>
        <v/>
      </c>
      <c r="S60" t="str">
        <f>IFERROR(RANK(V60,V:V,0)+COUNTIF($V$1:V59,V60),"")</f>
        <v/>
      </c>
      <c r="V60" s="102" t="str">
        <f t="shared" si="1"/>
        <v/>
      </c>
    </row>
    <row r="61" spans="18:22">
      <c r="R61" s="38" t="str">
        <f t="shared" si="0"/>
        <v/>
      </c>
      <c r="S61" t="str">
        <f>IFERROR(RANK(V61,V:V,0)+COUNTIF($V$1:V60,V61),"")</f>
        <v/>
      </c>
      <c r="V61" s="102" t="str">
        <f t="shared" si="1"/>
        <v/>
      </c>
    </row>
    <row r="62" spans="18:22">
      <c r="R62" s="38" t="str">
        <f t="shared" si="0"/>
        <v/>
      </c>
      <c r="S62" t="str">
        <f>IFERROR(RANK(V62,V:V,0)+COUNTIF($V$1:V61,V62),"")</f>
        <v/>
      </c>
      <c r="V62" s="102" t="str">
        <f t="shared" si="1"/>
        <v/>
      </c>
    </row>
    <row r="63" spans="18:22">
      <c r="R63" s="38" t="str">
        <f t="shared" si="0"/>
        <v/>
      </c>
      <c r="S63" t="str">
        <f>IFERROR(RANK(V63,V:V,0)+COUNTIF($V$1:V62,V63),"")</f>
        <v/>
      </c>
      <c r="V63" s="102" t="str">
        <f t="shared" si="1"/>
        <v/>
      </c>
    </row>
    <row r="64" spans="18:22">
      <c r="R64" s="38" t="str">
        <f t="shared" si="0"/>
        <v/>
      </c>
      <c r="S64" t="str">
        <f>IFERROR(RANK(V64,V:V,0)+COUNTIF($V$1:V63,V64),"")</f>
        <v/>
      </c>
      <c r="V64" s="102" t="str">
        <f t="shared" si="1"/>
        <v/>
      </c>
    </row>
    <row r="65" spans="18:22">
      <c r="R65" s="38" t="str">
        <f t="shared" si="0"/>
        <v/>
      </c>
      <c r="S65" t="str">
        <f>IFERROR(RANK(V65,V:V,0)+COUNTIF($V$1:V64,V65),"")</f>
        <v/>
      </c>
      <c r="V65" s="102" t="str">
        <f t="shared" si="1"/>
        <v/>
      </c>
    </row>
    <row r="66" spans="18:22">
      <c r="R66" s="38" t="str">
        <f t="shared" si="0"/>
        <v/>
      </c>
      <c r="S66" t="str">
        <f>IFERROR(RANK(V66,V:V,0)+COUNTIF($V$1:V65,V66),"")</f>
        <v/>
      </c>
      <c r="V66" s="102" t="str">
        <f t="shared" si="1"/>
        <v/>
      </c>
    </row>
    <row r="67" spans="18:22">
      <c r="R67" s="38" t="str">
        <f t="shared" ref="R67:R99" si="2">IF(C67="","",IFERROR(DATE(MID(C67,7,4),LEFT(C67,2),MID(C67,4,2)),C67))</f>
        <v/>
      </c>
      <c r="S67" t="str">
        <f>IFERROR(RANK(V67,V:V,0)+COUNTIF($V$1:V66,V67),"")</f>
        <v/>
      </c>
      <c r="V67" s="102" t="str">
        <f t="shared" ref="V67:V99" si="3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/>
      </c>
    </row>
    <row r="68" spans="18:22">
      <c r="R68" s="38" t="str">
        <f t="shared" si="2"/>
        <v/>
      </c>
      <c r="S68" t="str">
        <f>IFERROR(RANK(V68,V:V,0)+COUNTIF($V$1:V67,V68),"")</f>
        <v/>
      </c>
      <c r="V68" s="102" t="str">
        <f t="shared" si="3"/>
        <v/>
      </c>
    </row>
    <row r="69" spans="18:22">
      <c r="R69" s="38" t="str">
        <f t="shared" si="2"/>
        <v/>
      </c>
      <c r="S69" t="str">
        <f>IFERROR(RANK(V69,V:V,0)+COUNTIF($V$1:V68,V69),"")</f>
        <v/>
      </c>
      <c r="V69" s="102" t="str">
        <f t="shared" si="3"/>
        <v/>
      </c>
    </row>
    <row r="70" spans="18:22">
      <c r="R70" s="38" t="str">
        <f t="shared" si="2"/>
        <v/>
      </c>
      <c r="S70" t="str">
        <f>IFERROR(RANK(V70,V:V,0)+COUNTIF($V$1:V69,V70),"")</f>
        <v/>
      </c>
      <c r="V70" s="102" t="str">
        <f t="shared" si="3"/>
        <v/>
      </c>
    </row>
    <row r="71" spans="18:22">
      <c r="R71" s="38" t="str">
        <f t="shared" si="2"/>
        <v/>
      </c>
      <c r="S71" t="str">
        <f>IFERROR(RANK(V71,V:V,0)+COUNTIF($V$1:V70,V71),"")</f>
        <v/>
      </c>
      <c r="V71" s="102" t="str">
        <f t="shared" si="3"/>
        <v/>
      </c>
    </row>
    <row r="72" spans="18:22">
      <c r="R72" s="38" t="str">
        <f t="shared" si="2"/>
        <v/>
      </c>
      <c r="S72" t="str">
        <f>IFERROR(RANK(V72,V:V,0)+COUNTIF($V$1:V71,V72),"")</f>
        <v/>
      </c>
      <c r="V72" s="102" t="str">
        <f t="shared" si="3"/>
        <v/>
      </c>
    </row>
    <row r="73" spans="18:22">
      <c r="R73" s="38" t="str">
        <f t="shared" si="2"/>
        <v/>
      </c>
      <c r="S73" t="str">
        <f>IFERROR(RANK(V73,V:V,0)+COUNTIF($V$1:V72,V73),"")</f>
        <v/>
      </c>
      <c r="V73" s="102" t="str">
        <f t="shared" si="3"/>
        <v/>
      </c>
    </row>
    <row r="74" spans="18:22">
      <c r="R74" s="38" t="str">
        <f t="shared" si="2"/>
        <v/>
      </c>
      <c r="S74" t="str">
        <f>IFERROR(RANK(V74,V:V,0)+COUNTIF($V$1:V73,V74),"")</f>
        <v/>
      </c>
      <c r="V74" s="102" t="str">
        <f t="shared" si="3"/>
        <v/>
      </c>
    </row>
    <row r="75" spans="18:22">
      <c r="R75" s="38" t="str">
        <f t="shared" si="2"/>
        <v/>
      </c>
      <c r="S75" t="str">
        <f>IFERROR(RANK(V75,V:V,0)+COUNTIF($V$1:V74,V75),"")</f>
        <v/>
      </c>
      <c r="V75" s="102" t="str">
        <f t="shared" si="3"/>
        <v/>
      </c>
    </row>
    <row r="76" spans="18:22">
      <c r="R76" s="38" t="str">
        <f t="shared" si="2"/>
        <v/>
      </c>
      <c r="S76" t="str">
        <f>IFERROR(RANK(V76,V:V,0)+COUNTIF($V$1:V75,V76),"")</f>
        <v/>
      </c>
      <c r="V76" s="102" t="str">
        <f t="shared" si="3"/>
        <v/>
      </c>
    </row>
    <row r="77" spans="18:22">
      <c r="R77" s="38" t="str">
        <f t="shared" si="2"/>
        <v/>
      </c>
      <c r="S77" t="str">
        <f>IFERROR(RANK(V77,V:V,0)+COUNTIF($V$1:V76,V77),"")</f>
        <v/>
      </c>
      <c r="V77" s="102" t="str">
        <f t="shared" si="3"/>
        <v/>
      </c>
    </row>
    <row r="78" spans="18:22">
      <c r="R78" s="38" t="str">
        <f t="shared" si="2"/>
        <v/>
      </c>
      <c r="S78" t="str">
        <f>IFERROR(RANK(V78,V:V,0)+COUNTIF($V$1:V77,V78),"")</f>
        <v/>
      </c>
      <c r="V78" s="102" t="str">
        <f t="shared" si="3"/>
        <v/>
      </c>
    </row>
    <row r="79" spans="18:22">
      <c r="R79" s="38" t="str">
        <f t="shared" si="2"/>
        <v/>
      </c>
      <c r="S79" t="str">
        <f>IFERROR(RANK(V79,V:V,0)+COUNTIF($V$1:V78,V79),"")</f>
        <v/>
      </c>
      <c r="V79" s="102" t="str">
        <f t="shared" si="3"/>
        <v/>
      </c>
    </row>
    <row r="80" spans="18:22">
      <c r="R80" s="38" t="str">
        <f t="shared" si="2"/>
        <v/>
      </c>
      <c r="S80" t="str">
        <f>IFERROR(RANK(V80,V:V,0)+COUNTIF($V$1:V79,V80),"")</f>
        <v/>
      </c>
      <c r="V80" s="102" t="str">
        <f t="shared" si="3"/>
        <v/>
      </c>
    </row>
    <row r="81" spans="18:22">
      <c r="R81" s="38" t="str">
        <f t="shared" si="2"/>
        <v/>
      </c>
      <c r="S81" t="str">
        <f>IFERROR(RANK(V81,V:V,0)+COUNTIF($V$1:V80,V81),"")</f>
        <v/>
      </c>
      <c r="V81" s="102" t="str">
        <f t="shared" si="3"/>
        <v/>
      </c>
    </row>
    <row r="82" spans="18:22">
      <c r="R82" s="38" t="str">
        <f t="shared" si="2"/>
        <v/>
      </c>
      <c r="S82" t="str">
        <f>IFERROR(RANK(V82,V:V,0)+COUNTIF($V$1:V81,V82),"")</f>
        <v/>
      </c>
      <c r="V82" s="102" t="str">
        <f t="shared" si="3"/>
        <v/>
      </c>
    </row>
    <row r="83" spans="18:22">
      <c r="R83" s="38" t="str">
        <f t="shared" si="2"/>
        <v/>
      </c>
      <c r="S83" t="str">
        <f>IFERROR(RANK(V83,V:V,0)+COUNTIF($V$1:V82,V83),"")</f>
        <v/>
      </c>
      <c r="V83" s="102" t="str">
        <f t="shared" si="3"/>
        <v/>
      </c>
    </row>
    <row r="84" spans="18:22">
      <c r="R84" s="38" t="str">
        <f t="shared" si="2"/>
        <v/>
      </c>
      <c r="S84" t="str">
        <f>IFERROR(RANK(V84,V:V,0)+COUNTIF($V$1:V83,V84),"")</f>
        <v/>
      </c>
      <c r="V84" s="102" t="str">
        <f t="shared" si="3"/>
        <v/>
      </c>
    </row>
    <row r="85" spans="18:22">
      <c r="R85" s="38" t="str">
        <f t="shared" si="2"/>
        <v/>
      </c>
      <c r="S85" t="str">
        <f>IFERROR(RANK(V85,V:V,0)+COUNTIF($V$1:V84,V85),"")</f>
        <v/>
      </c>
      <c r="V85" s="102" t="str">
        <f t="shared" si="3"/>
        <v/>
      </c>
    </row>
    <row r="86" spans="18:22">
      <c r="R86" s="38" t="str">
        <f t="shared" si="2"/>
        <v/>
      </c>
      <c r="S86" t="str">
        <f>IFERROR(RANK(V86,V:V,0)+COUNTIF($V$1:V85,V86),"")</f>
        <v/>
      </c>
      <c r="V86" s="102" t="str">
        <f t="shared" si="3"/>
        <v/>
      </c>
    </row>
    <row r="87" spans="18:22">
      <c r="R87" s="38" t="str">
        <f t="shared" si="2"/>
        <v/>
      </c>
      <c r="S87" t="str">
        <f>IFERROR(RANK(V87,V:V,0)+COUNTIF($V$1:V86,V87),"")</f>
        <v/>
      </c>
      <c r="V87" s="102" t="str">
        <f t="shared" si="3"/>
        <v/>
      </c>
    </row>
    <row r="88" spans="18:22">
      <c r="R88" s="38" t="str">
        <f t="shared" si="2"/>
        <v/>
      </c>
      <c r="S88" t="str">
        <f>IFERROR(RANK(V88,V:V,0)+COUNTIF($V$1:V87,V88),"")</f>
        <v/>
      </c>
      <c r="V88" s="102" t="str">
        <f t="shared" si="3"/>
        <v/>
      </c>
    </row>
    <row r="89" spans="18:22">
      <c r="R89" s="38" t="str">
        <f t="shared" si="2"/>
        <v/>
      </c>
      <c r="S89" t="str">
        <f>IFERROR(RANK(V89,V:V,0)+COUNTIF($V$1:V88,V89),"")</f>
        <v/>
      </c>
      <c r="V89" s="102" t="str">
        <f t="shared" si="3"/>
        <v/>
      </c>
    </row>
    <row r="90" spans="18:22">
      <c r="R90" s="38" t="str">
        <f t="shared" si="2"/>
        <v/>
      </c>
      <c r="S90" t="str">
        <f>IFERROR(RANK(V90,V:V,0)+COUNTIF($V$1:V89,V90),"")</f>
        <v/>
      </c>
      <c r="V90" s="102" t="str">
        <f t="shared" si="3"/>
        <v/>
      </c>
    </row>
    <row r="91" spans="18:22">
      <c r="R91" s="38" t="str">
        <f t="shared" si="2"/>
        <v/>
      </c>
      <c r="S91" t="str">
        <f>IFERROR(RANK(V91,V:V,0)+COUNTIF($V$1:V90,V91),"")</f>
        <v/>
      </c>
      <c r="V91" s="102" t="str">
        <f t="shared" si="3"/>
        <v/>
      </c>
    </row>
    <row r="92" spans="18:22">
      <c r="R92" s="38" t="str">
        <f t="shared" si="2"/>
        <v/>
      </c>
      <c r="S92" t="str">
        <f>IFERROR(RANK(V92,V:V,0)+COUNTIF($V$1:V91,V92),"")</f>
        <v/>
      </c>
      <c r="V92" s="102" t="str">
        <f t="shared" si="3"/>
        <v/>
      </c>
    </row>
    <row r="93" spans="18:22">
      <c r="R93" s="38" t="str">
        <f t="shared" si="2"/>
        <v/>
      </c>
      <c r="S93" t="str">
        <f>IFERROR(RANK(V93,V:V,0)+COUNTIF($V$1:V92,V93),"")</f>
        <v/>
      </c>
      <c r="V93" s="102" t="str">
        <f t="shared" si="3"/>
        <v/>
      </c>
    </row>
    <row r="94" spans="18:22">
      <c r="R94" s="38" t="str">
        <f t="shared" si="2"/>
        <v/>
      </c>
      <c r="S94" t="str">
        <f>IFERROR(RANK(V94,V:V,0)+COUNTIF($V$1:V93,V94),"")</f>
        <v/>
      </c>
      <c r="V94" s="102" t="str">
        <f t="shared" si="3"/>
        <v/>
      </c>
    </row>
    <row r="95" spans="18:22">
      <c r="R95" s="38" t="str">
        <f t="shared" si="2"/>
        <v/>
      </c>
      <c r="S95" t="str">
        <f>IFERROR(RANK(V95,V:V,0)+COUNTIF($V$1:V94,V95),"")</f>
        <v/>
      </c>
      <c r="V95" s="102" t="str">
        <f t="shared" si="3"/>
        <v/>
      </c>
    </row>
    <row r="96" spans="18:22">
      <c r="R96" s="38" t="str">
        <f t="shared" si="2"/>
        <v/>
      </c>
      <c r="S96" t="str">
        <f>IFERROR(RANK(V96,V:V,0)+COUNTIF($V$1:V95,V96),"")</f>
        <v/>
      </c>
      <c r="V96" s="102" t="str">
        <f t="shared" si="3"/>
        <v/>
      </c>
    </row>
    <row r="97" spans="18:22">
      <c r="R97" s="38" t="str">
        <f t="shared" si="2"/>
        <v/>
      </c>
      <c r="S97" t="str">
        <f>IFERROR(RANK(V97,V:V,0)+COUNTIF($V$1:V96,V97),"")</f>
        <v/>
      </c>
      <c r="V97" s="102" t="str">
        <f t="shared" si="3"/>
        <v/>
      </c>
    </row>
    <row r="98" spans="18:22">
      <c r="R98" s="38" t="str">
        <f t="shared" si="2"/>
        <v/>
      </c>
      <c r="S98" t="str">
        <f>IFERROR(RANK(V98,V:V,0)+COUNTIF($V$1:V97,V98),"")</f>
        <v/>
      </c>
      <c r="V98" s="102" t="str">
        <f t="shared" si="3"/>
        <v/>
      </c>
    </row>
    <row r="99" spans="18:22">
      <c r="R99" s="38" t="str">
        <f t="shared" si="2"/>
        <v/>
      </c>
      <c r="S99" t="str">
        <f>IFERROR(RANK(V99,V:V,0)+COUNTIF($V$1:V98,V99),"")</f>
        <v/>
      </c>
      <c r="V99" s="102" t="str">
        <f t="shared" si="3"/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A2" sqref="A2:M11"/>
    </sheetView>
  </sheetViews>
  <sheetFormatPr defaultRowHeight="16.5"/>
  <cols>
    <col min="1" max="17" width="8.75" style="43"/>
  </cols>
  <sheetData>
    <row r="1" spans="1:21">
      <c r="A1" s="43" t="s">
        <v>190</v>
      </c>
      <c r="B1" s="43" t="s">
        <v>71</v>
      </c>
      <c r="C1" s="43" t="s">
        <v>35</v>
      </c>
      <c r="D1" s="43" t="s">
        <v>40</v>
      </c>
      <c r="E1" s="43" t="s">
        <v>44</v>
      </c>
      <c r="F1" s="43" t="s">
        <v>48</v>
      </c>
      <c r="G1" s="43" t="s">
        <v>67</v>
      </c>
      <c r="H1" s="43" t="s">
        <v>45</v>
      </c>
      <c r="I1" s="43" t="s">
        <v>85</v>
      </c>
      <c r="J1" s="43" t="s">
        <v>86</v>
      </c>
      <c r="K1" s="43" t="s">
        <v>88</v>
      </c>
      <c r="L1" s="43" t="s">
        <v>50</v>
      </c>
      <c r="M1" s="43" t="s">
        <v>72</v>
      </c>
      <c r="N1" s="43" t="s">
        <v>87</v>
      </c>
    </row>
    <row r="2" spans="1:21">
      <c r="A2" s="43" t="s">
        <v>210</v>
      </c>
      <c r="B2" s="43" t="s">
        <v>201</v>
      </c>
      <c r="C2" s="43">
        <v>45506</v>
      </c>
      <c r="D2" s="43" t="s">
        <v>202</v>
      </c>
      <c r="E2" s="43" t="s">
        <v>128</v>
      </c>
      <c r="F2" s="43">
        <v>297</v>
      </c>
      <c r="G2" s="43">
        <v>292</v>
      </c>
      <c r="H2" s="43">
        <v>0</v>
      </c>
      <c r="I2" s="43">
        <v>9</v>
      </c>
      <c r="J2" s="43">
        <v>1</v>
      </c>
      <c r="K2" s="43">
        <v>360</v>
      </c>
      <c r="M2" s="43">
        <v>1</v>
      </c>
      <c r="R2">
        <f>IF(COUNTIF($C$2:C2, C2) = 1, 1, 0)</f>
        <v>1</v>
      </c>
      <c r="U2" s="56" t="s">
        <v>116</v>
      </c>
    </row>
    <row r="3" spans="1:21">
      <c r="A3" s="43" t="s">
        <v>214</v>
      </c>
      <c r="B3" s="43" t="s">
        <v>201</v>
      </c>
      <c r="C3" s="43">
        <v>45510</v>
      </c>
      <c r="D3" s="43" t="s">
        <v>202</v>
      </c>
      <c r="E3" s="43" t="s">
        <v>128</v>
      </c>
      <c r="F3" s="43">
        <v>319</v>
      </c>
      <c r="G3" s="43">
        <v>317</v>
      </c>
      <c r="H3" s="43">
        <v>0</v>
      </c>
      <c r="I3" s="43">
        <v>6</v>
      </c>
      <c r="J3" s="43">
        <v>1</v>
      </c>
      <c r="K3" s="43">
        <v>390</v>
      </c>
      <c r="L3" s="43">
        <v>7</v>
      </c>
      <c r="R3">
        <f>IF(COUNTIF($C$2:C3, C3) = 1, 1, 0)</f>
        <v>1</v>
      </c>
      <c r="U3" s="53"/>
    </row>
    <row r="4" spans="1:21">
      <c r="A4" s="43" t="s">
        <v>216</v>
      </c>
      <c r="B4" s="43" t="s">
        <v>201</v>
      </c>
      <c r="C4" s="43">
        <v>45511</v>
      </c>
      <c r="D4" s="43" t="s">
        <v>202</v>
      </c>
      <c r="E4" s="43" t="s">
        <v>128</v>
      </c>
      <c r="F4" s="43">
        <v>259</v>
      </c>
      <c r="G4" s="43">
        <v>254</v>
      </c>
      <c r="H4" s="43">
        <v>0</v>
      </c>
      <c r="I4" s="43">
        <v>7</v>
      </c>
      <c r="J4" s="43">
        <v>3</v>
      </c>
      <c r="K4" s="43">
        <v>305</v>
      </c>
      <c r="R4">
        <f>IF(COUNTIF($C$2:C4, C4) = 1, 1, 0)</f>
        <v>1</v>
      </c>
      <c r="U4" s="53"/>
    </row>
    <row r="5" spans="1:21">
      <c r="A5" s="43" t="s">
        <v>218</v>
      </c>
      <c r="B5" s="43" t="s">
        <v>201</v>
      </c>
      <c r="C5" s="43">
        <v>45512</v>
      </c>
      <c r="D5" s="43" t="s">
        <v>202</v>
      </c>
      <c r="E5" s="43" t="s">
        <v>128</v>
      </c>
      <c r="F5" s="43">
        <v>342</v>
      </c>
      <c r="G5" s="43">
        <v>342</v>
      </c>
      <c r="H5" s="43">
        <v>0</v>
      </c>
      <c r="I5" s="43">
        <v>2</v>
      </c>
      <c r="J5" s="43">
        <v>1</v>
      </c>
      <c r="K5" s="43">
        <v>394</v>
      </c>
      <c r="L5" s="43">
        <v>6</v>
      </c>
      <c r="R5">
        <f>IF(COUNTIF($C$2:C5, C5) = 1, 1, 0)</f>
        <v>1</v>
      </c>
      <c r="U5" s="53"/>
    </row>
    <row r="6" spans="1:21">
      <c r="A6" s="43" t="s">
        <v>222</v>
      </c>
      <c r="B6" s="43" t="s">
        <v>201</v>
      </c>
      <c r="C6" s="43">
        <v>45517</v>
      </c>
      <c r="D6" s="43" t="s">
        <v>202</v>
      </c>
      <c r="E6" s="43" t="s">
        <v>128</v>
      </c>
      <c r="F6" s="43">
        <v>276</v>
      </c>
      <c r="G6" s="43">
        <v>275</v>
      </c>
      <c r="H6" s="43">
        <v>0</v>
      </c>
      <c r="I6" s="43">
        <v>4</v>
      </c>
      <c r="J6" s="43">
        <v>1</v>
      </c>
      <c r="K6" s="43">
        <v>349</v>
      </c>
      <c r="R6">
        <f>IF(COUNTIF($C$2:C6, C6) = 1, 1, 0)</f>
        <v>1</v>
      </c>
      <c r="U6" s="53"/>
    </row>
    <row r="7" spans="1:21">
      <c r="A7" s="43" t="s">
        <v>224</v>
      </c>
      <c r="B7" s="43" t="s">
        <v>201</v>
      </c>
      <c r="C7" s="43">
        <v>45519</v>
      </c>
      <c r="D7" s="43" t="s">
        <v>202</v>
      </c>
      <c r="E7" s="43" t="s">
        <v>128</v>
      </c>
      <c r="F7" s="43">
        <v>386</v>
      </c>
      <c r="G7" s="43">
        <v>385</v>
      </c>
      <c r="H7" s="43">
        <v>0</v>
      </c>
      <c r="I7" s="43">
        <v>6</v>
      </c>
      <c r="J7" s="43">
        <v>1</v>
      </c>
      <c r="K7" s="43">
        <v>494</v>
      </c>
      <c r="M7" s="43">
        <v>1</v>
      </c>
      <c r="R7">
        <f>IF(COUNTIF($C$2:C7, C7) = 1, 1, 0)</f>
        <v>1</v>
      </c>
      <c r="U7" s="53"/>
    </row>
    <row r="8" spans="1:21">
      <c r="A8" s="43" t="s">
        <v>228</v>
      </c>
      <c r="B8" s="43" t="s">
        <v>201</v>
      </c>
      <c r="C8" s="43">
        <v>45524</v>
      </c>
      <c r="D8" s="43" t="s">
        <v>202</v>
      </c>
      <c r="E8" s="43" t="s">
        <v>128</v>
      </c>
      <c r="F8" s="43">
        <v>328</v>
      </c>
      <c r="G8" s="43">
        <v>312</v>
      </c>
      <c r="H8" s="43">
        <v>0</v>
      </c>
      <c r="J8" s="43">
        <v>0</v>
      </c>
      <c r="K8" s="43">
        <v>346</v>
      </c>
      <c r="R8">
        <f>IF(COUNTIF($C$2:C8, C8) = 1, 1, 0)</f>
        <v>1</v>
      </c>
      <c r="U8" s="53"/>
    </row>
    <row r="9" spans="1:21">
      <c r="A9" s="43" t="s">
        <v>260</v>
      </c>
      <c r="B9" s="43" t="s">
        <v>201</v>
      </c>
      <c r="C9" s="43">
        <v>45526</v>
      </c>
      <c r="D9" s="43" t="s">
        <v>202</v>
      </c>
      <c r="E9" s="43" t="s">
        <v>128</v>
      </c>
      <c r="F9" s="43">
        <v>439</v>
      </c>
      <c r="G9" s="43">
        <v>439</v>
      </c>
      <c r="H9" s="43">
        <v>0</v>
      </c>
      <c r="I9" s="43">
        <v>8</v>
      </c>
      <c r="J9" s="43">
        <v>1</v>
      </c>
      <c r="K9" s="43">
        <v>465</v>
      </c>
      <c r="L9" s="43">
        <v>7</v>
      </c>
      <c r="M9" s="43">
        <v>1</v>
      </c>
      <c r="R9">
        <f>IF(COUNTIF($C$2:C9, C9) = 1, 1, 0)</f>
        <v>1</v>
      </c>
      <c r="U9" s="53"/>
    </row>
    <row r="10" spans="1:21">
      <c r="A10" s="43" t="s">
        <v>232</v>
      </c>
      <c r="B10" s="43" t="s">
        <v>201</v>
      </c>
      <c r="C10" s="43">
        <v>45527</v>
      </c>
      <c r="D10" s="43" t="s">
        <v>202</v>
      </c>
      <c r="E10" s="43" t="s">
        <v>128</v>
      </c>
      <c r="F10" s="43">
        <v>307</v>
      </c>
      <c r="G10" s="43">
        <v>305</v>
      </c>
      <c r="H10" s="43">
        <v>0</v>
      </c>
      <c r="I10" s="43">
        <v>9</v>
      </c>
      <c r="J10" s="43">
        <v>1</v>
      </c>
      <c r="K10" s="43">
        <v>332</v>
      </c>
      <c r="L10" s="43">
        <v>3</v>
      </c>
      <c r="M10" s="43">
        <v>1</v>
      </c>
      <c r="R10">
        <f>IF(COUNTIF($C$2:C10, C10) = 1, 1, 0)</f>
        <v>1</v>
      </c>
      <c r="U10" s="53"/>
    </row>
    <row r="11" spans="1:21">
      <c r="A11" s="43" t="s">
        <v>236</v>
      </c>
      <c r="B11" s="43" t="s">
        <v>201</v>
      </c>
      <c r="C11" s="43">
        <v>45530</v>
      </c>
      <c r="D11" s="43" t="s">
        <v>202</v>
      </c>
      <c r="E11" s="43" t="s">
        <v>128</v>
      </c>
      <c r="F11" s="43">
        <v>330</v>
      </c>
      <c r="G11" s="43">
        <v>330</v>
      </c>
      <c r="H11" s="43">
        <v>0</v>
      </c>
      <c r="I11" s="43">
        <v>9</v>
      </c>
      <c r="J11" s="43">
        <v>0</v>
      </c>
      <c r="K11" s="43">
        <v>354</v>
      </c>
      <c r="M11" s="43">
        <v>1</v>
      </c>
      <c r="R11">
        <f>IF(COUNTIF($C$2:C11, C11) = 1, 1, 0)</f>
        <v>1</v>
      </c>
      <c r="U11" s="53"/>
    </row>
    <row r="12" spans="1:21">
      <c r="R12">
        <f>IF(COUNTIF($C$2:C12, C12) = 1, 1, 0)</f>
        <v>0</v>
      </c>
      <c r="U12" s="53"/>
    </row>
    <row r="13" spans="1:21">
      <c r="R13">
        <f>IF(COUNTIF($C$2:C13, C13) = 1, 1, 0)</f>
        <v>0</v>
      </c>
      <c r="U13" s="53"/>
    </row>
    <row r="14" spans="1:21">
      <c r="R14">
        <f>IF(COUNTIF($C$2:C14, C14) = 1, 1, 0)</f>
        <v>0</v>
      </c>
      <c r="U14" s="53"/>
    </row>
    <row r="15" spans="1:21">
      <c r="R15">
        <f>IF(COUNTIF($C$2:C15, C15) = 1, 1, 0)</f>
        <v>0</v>
      </c>
      <c r="U15" s="53"/>
    </row>
    <row r="16" spans="1:21">
      <c r="R16">
        <f>IF(COUNTIF($C$2:C16, C16) = 1, 1, 0)</f>
        <v>0</v>
      </c>
      <c r="U16" s="53"/>
    </row>
    <row r="17" spans="18:21">
      <c r="R17">
        <f>IF(COUNTIF($C$2:C17, C17) = 1, 1, 0)</f>
        <v>0</v>
      </c>
      <c r="U17" s="53"/>
    </row>
    <row r="18" spans="18:21">
      <c r="R18">
        <f>IF(COUNTIF($C$2:C18, C18) = 1, 1, 0)</f>
        <v>0</v>
      </c>
      <c r="U18" s="53"/>
    </row>
    <row r="19" spans="18:21">
      <c r="U19" s="53"/>
    </row>
    <row r="20" spans="18:21">
      <c r="U20" s="53"/>
    </row>
    <row r="21" spans="18:21">
      <c r="U21" s="53"/>
    </row>
    <row r="22" spans="18:21">
      <c r="U22" s="53"/>
    </row>
    <row r="23" spans="18:21">
      <c r="U23" s="53"/>
    </row>
    <row r="24" spans="18:21">
      <c r="U24" s="53"/>
    </row>
    <row r="25" spans="18:21">
      <c r="U25" s="53"/>
    </row>
    <row r="26" spans="18:21">
      <c r="U26" s="53"/>
    </row>
    <row r="27" spans="18:21">
      <c r="U27" s="53"/>
    </row>
    <row r="28" spans="18:21">
      <c r="U28" s="53"/>
    </row>
    <row r="29" spans="18:21">
      <c r="U29" s="53"/>
    </row>
    <row r="30" spans="18:21">
      <c r="U30" s="53"/>
    </row>
    <row r="31" spans="18:21">
      <c r="U31" s="53"/>
    </row>
    <row r="32" spans="18:21">
      <c r="U32" s="53"/>
    </row>
    <row r="33" spans="21:21">
      <c r="U33" s="53"/>
    </row>
    <row r="34" spans="21:21">
      <c r="U34" s="53"/>
    </row>
    <row r="35" spans="21:21">
      <c r="U35" s="53"/>
    </row>
    <row r="36" spans="21:21">
      <c r="U36" s="53"/>
    </row>
    <row r="37" spans="21:21">
      <c r="U37" s="53"/>
    </row>
    <row r="38" spans="21:21">
      <c r="U38" s="53"/>
    </row>
    <row r="39" spans="21:21">
      <c r="U39" s="53"/>
    </row>
    <row r="40" spans="21:21">
      <c r="U40" s="53"/>
    </row>
    <row r="41" spans="21:21">
      <c r="U41" s="53"/>
    </row>
    <row r="42" spans="21:21">
      <c r="U42" s="53"/>
    </row>
    <row r="43" spans="21:21">
      <c r="U43" s="5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topLeftCell="D1" zoomScale="115" zoomScaleNormal="115" workbookViewId="0">
      <selection activeCell="I5" sqref="I5:O6"/>
    </sheetView>
  </sheetViews>
  <sheetFormatPr defaultColWidth="8.75" defaultRowHeight="15"/>
  <cols>
    <col min="1" max="5" width="18.5" style="105" customWidth="1"/>
    <col min="6" max="9" width="8.75" style="105"/>
    <col min="10" max="13" width="12.75" style="105" customWidth="1"/>
    <col min="14" max="16384" width="8.75" style="105"/>
  </cols>
  <sheetData>
    <row r="1" spans="1:26">
      <c r="A1" s="104" t="s">
        <v>59</v>
      </c>
      <c r="B1" s="104" t="s">
        <v>70</v>
      </c>
      <c r="C1" s="104" t="s">
        <v>167</v>
      </c>
      <c r="D1" s="104" t="s">
        <v>61</v>
      </c>
      <c r="E1" s="104" t="s">
        <v>62</v>
      </c>
      <c r="F1" s="104" t="s">
        <v>54</v>
      </c>
      <c r="G1" s="104" t="s">
        <v>63</v>
      </c>
    </row>
    <row r="2" spans="1:26" ht="15.75" thickBot="1">
      <c r="A2" s="173">
        <v>45078</v>
      </c>
      <c r="B2" s="174">
        <v>25330</v>
      </c>
      <c r="C2" s="174">
        <v>469</v>
      </c>
      <c r="D2" s="174">
        <v>5</v>
      </c>
      <c r="E2" s="174">
        <v>301819</v>
      </c>
      <c r="F2" s="174">
        <v>251</v>
      </c>
      <c r="G2" s="175">
        <v>3.1854287574416566E-4</v>
      </c>
    </row>
    <row r="3" spans="1:26">
      <c r="A3" s="106">
        <v>45108</v>
      </c>
      <c r="B3" s="107">
        <v>24784</v>
      </c>
      <c r="C3" s="107">
        <v>648</v>
      </c>
      <c r="D3" s="107">
        <v>14</v>
      </c>
      <c r="E3" s="107">
        <v>787963</v>
      </c>
      <c r="F3" s="107">
        <v>2050</v>
      </c>
      <c r="G3" s="108">
        <v>2.6016450010977674E-3</v>
      </c>
      <c r="I3" s="258" t="s">
        <v>57</v>
      </c>
      <c r="J3" s="259"/>
      <c r="K3" s="259"/>
      <c r="L3" s="259"/>
      <c r="M3" s="259"/>
      <c r="N3" s="259"/>
      <c r="O3" s="260"/>
      <c r="Q3" s="110" t="s">
        <v>117</v>
      </c>
    </row>
    <row r="4" spans="1:26">
      <c r="A4" s="106">
        <v>45139</v>
      </c>
      <c r="B4" s="107">
        <v>24120</v>
      </c>
      <c r="C4" s="107">
        <v>340</v>
      </c>
      <c r="D4" s="107">
        <v>17</v>
      </c>
      <c r="E4" s="107">
        <v>592629</v>
      </c>
      <c r="F4" s="107">
        <v>6971</v>
      </c>
      <c r="G4" s="108">
        <v>1.1762839820528526E-2</v>
      </c>
      <c r="I4" s="178" t="s">
        <v>11</v>
      </c>
      <c r="J4" s="179" t="s">
        <v>96</v>
      </c>
      <c r="K4" s="179" t="s">
        <v>167</v>
      </c>
      <c r="L4" s="179" t="s">
        <v>97</v>
      </c>
      <c r="M4" s="179" t="s">
        <v>67</v>
      </c>
      <c r="N4" s="179" t="s">
        <v>46</v>
      </c>
      <c r="O4" s="180" t="s">
        <v>98</v>
      </c>
      <c r="Q4" s="114"/>
    </row>
    <row r="5" spans="1:26" ht="15.75" thickBot="1">
      <c r="A5" s="106">
        <v>45170</v>
      </c>
      <c r="B5" s="107">
        <v>24351</v>
      </c>
      <c r="C5" s="107">
        <v>823</v>
      </c>
      <c r="D5" s="107">
        <v>14</v>
      </c>
      <c r="E5" s="107">
        <v>1575986</v>
      </c>
      <c r="F5" s="107">
        <v>15843</v>
      </c>
      <c r="G5" s="108">
        <v>1.0052754275735952E-2</v>
      </c>
      <c r="I5" s="115">
        <f>일일data!$A$4</f>
        <v>45505</v>
      </c>
      <c r="J5" s="116">
        <f>VLOOKUP(EOMONTH(일일data!$A$4,0),일일data!$A:$Z,21,FALSE)</f>
        <v>24781</v>
      </c>
      <c r="K5" s="116" cm="1">
        <f t="array" ref="K5">INDEX('구글시트 data'!O:O,COUNTA('구글시트 data'!O:O))</f>
        <v>685</v>
      </c>
      <c r="L5" s="116">
        <f>COUNTA('IG 콘텐츠 data'!A:A)-1</f>
        <v>13</v>
      </c>
      <c r="M5" s="116" cm="1">
        <f t="array" ref="M5">INDEX('구글시트 data'!H:H,COUNTA('구글시트 data'!H:H))</f>
        <v>150663</v>
      </c>
      <c r="N5" s="181">
        <v>15036</v>
      </c>
      <c r="O5" s="182">
        <f>N5/M5</f>
        <v>9.9798888911013323E-2</v>
      </c>
      <c r="Q5" s="114"/>
    </row>
    <row r="6" spans="1:26">
      <c r="A6" s="106" t="s">
        <v>105</v>
      </c>
      <c r="B6" s="107">
        <v>24169</v>
      </c>
      <c r="C6" s="107">
        <v>525</v>
      </c>
      <c r="D6" s="107">
        <v>16</v>
      </c>
      <c r="E6" s="107">
        <v>2154607</v>
      </c>
      <c r="F6" s="107">
        <v>26366</v>
      </c>
      <c r="G6" s="108">
        <v>1.2237034410451651E-2</v>
      </c>
      <c r="Q6" s="114"/>
      <c r="R6" s="208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301명
(1.23%) 증가</v>
      </c>
    </row>
    <row r="7" spans="1:26">
      <c r="A7" s="106" t="s">
        <v>108</v>
      </c>
      <c r="B7" s="107">
        <v>24349</v>
      </c>
      <c r="C7" s="107">
        <v>720</v>
      </c>
      <c r="D7" s="107">
        <v>13</v>
      </c>
      <c r="E7" s="107">
        <v>707256</v>
      </c>
      <c r="F7" s="107">
        <v>19575</v>
      </c>
      <c r="G7" s="108">
        <v>2.767738979945027E-2</v>
      </c>
      <c r="J7" s="257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257"/>
      <c r="L7" s="257"/>
      <c r="M7" s="257"/>
      <c r="Q7" s="114"/>
    </row>
    <row r="8" spans="1:26">
      <c r="A8" s="106">
        <v>45261</v>
      </c>
      <c r="B8" s="107">
        <v>24077</v>
      </c>
      <c r="C8" s="107">
        <v>205</v>
      </c>
      <c r="D8" s="107">
        <v>15</v>
      </c>
      <c r="E8" s="107">
        <v>389586</v>
      </c>
      <c r="F8" s="107">
        <v>9936</v>
      </c>
      <c r="G8" s="108">
        <v>2.5503996550184042E-2</v>
      </c>
      <c r="Q8" s="114"/>
    </row>
    <row r="9" spans="1:26">
      <c r="A9" s="106">
        <v>45292</v>
      </c>
      <c r="B9" s="107">
        <v>23803</v>
      </c>
      <c r="C9" s="107">
        <v>184</v>
      </c>
      <c r="D9" s="107">
        <v>16</v>
      </c>
      <c r="E9" s="107">
        <v>339172</v>
      </c>
      <c r="F9" s="107">
        <v>14189</v>
      </c>
      <c r="G9" s="108">
        <v>4.1834231599306548E-2</v>
      </c>
      <c r="Q9" s="114"/>
      <c r="R9" s="105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9월 1일 기준 팬 수 24,781명으로 전월 대비 1.23% 증가</v>
      </c>
    </row>
    <row r="10" spans="1:26">
      <c r="A10" s="106">
        <v>45323</v>
      </c>
      <c r="B10" s="107">
        <v>23534</v>
      </c>
      <c r="C10" s="107">
        <v>156</v>
      </c>
      <c r="D10" s="107">
        <v>10</v>
      </c>
      <c r="E10" s="107">
        <v>157953</v>
      </c>
      <c r="F10" s="107">
        <v>7821</v>
      </c>
      <c r="G10" s="108">
        <v>4.9514729064975026E-2</v>
      </c>
      <c r="J10" s="253" t="s">
        <v>64</v>
      </c>
      <c r="K10" s="253"/>
      <c r="L10" s="253"/>
      <c r="M10" s="253"/>
      <c r="Q10" s="114"/>
      <c r="R10" s="105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685로 전월 대비 35.64% 증가, 팔로워 이탈 503로 전월 대비 15.90% 증가</v>
      </c>
    </row>
    <row r="11" spans="1:26">
      <c r="A11" s="106">
        <v>45352</v>
      </c>
      <c r="B11" s="107">
        <v>24159</v>
      </c>
      <c r="C11" s="107">
        <v>1071</v>
      </c>
      <c r="D11" s="107">
        <v>11</v>
      </c>
      <c r="E11" s="107">
        <v>151612</v>
      </c>
      <c r="F11" s="107">
        <v>9364</v>
      </c>
      <c r="G11" s="108">
        <v>6.1762921140806795E-2</v>
      </c>
      <c r="J11" s="212" t="s">
        <v>264</v>
      </c>
      <c r="K11" s="123">
        <f>INDEX(A:A,COUNTA(B:B)-1)</f>
        <v>45474</v>
      </c>
      <c r="L11" s="123">
        <f>INDEX(A:A,COUNTA(B:B))</f>
        <v>45505</v>
      </c>
      <c r="M11" s="124" t="s">
        <v>69</v>
      </c>
      <c r="Q11" s="114"/>
      <c r="R11" s="105" t="str">
        <f>"포스팅 발행 수 "&amp;TEXT(L14,"#,###")&amp;"로 전월 대비 "&amp;IF(L14&gt;=K14,TEXT((L14-K14)/K14,"#.#0%")&amp;" 증가",TEXT(ABS((L14-K14)/K14),"#.#0%")&amp;" 감소")</f>
        <v>포스팅 발행 수 13로 전월 대비 13.33% 감소</v>
      </c>
    </row>
    <row r="12" spans="1:26">
      <c r="A12" s="106">
        <v>45383</v>
      </c>
      <c r="B12" s="107">
        <v>24029</v>
      </c>
      <c r="C12" s="107">
        <v>353</v>
      </c>
      <c r="D12" s="107">
        <v>11</v>
      </c>
      <c r="E12" s="107">
        <v>126532</v>
      </c>
      <c r="F12" s="107">
        <v>7486</v>
      </c>
      <c r="G12" s="108">
        <v>5.9162899503682864E-2</v>
      </c>
      <c r="J12" s="211" t="s">
        <v>96</v>
      </c>
      <c r="K12" s="126">
        <f>INDEX(B:B,COUNTA(B:B)-1)</f>
        <v>24480</v>
      </c>
      <c r="L12" s="126">
        <f>INDEX(B:B,COUNTA(B:B))</f>
        <v>24781</v>
      </c>
      <c r="M12" s="126" t="str">
        <f>IF(K12&gt;L12,"▼ "&amp;TEXT(ABS((L12-K12)/K12),"0.00%"),"▲ "&amp;TEXT(ABS((L12-K12)/K12),"0.00%"))</f>
        <v>▲ 1.23%</v>
      </c>
      <c r="P12" s="127"/>
      <c r="Q12" s="114"/>
      <c r="R12" s="105" t="str">
        <f>"콘텐츠 도달 "&amp;TEXT(L15,"#,###")&amp;"로 전월 대비 "&amp;IF(L15&gt;=K15,TEXT((L15-K15)/K15,"#.#0%")&amp;" 증가",TEXT(ABS((L15-K15)/K15),"#.#0%")&amp;" 감소")</f>
        <v>콘텐츠 도달 150,663로 전월 대비 43.24% 증가</v>
      </c>
    </row>
    <row r="13" spans="1:26">
      <c r="A13" s="106">
        <v>45413</v>
      </c>
      <c r="B13" s="107">
        <v>24433</v>
      </c>
      <c r="C13" s="107">
        <v>753</v>
      </c>
      <c r="D13" s="107">
        <v>11</v>
      </c>
      <c r="E13" s="107">
        <v>95424</v>
      </c>
      <c r="F13" s="107">
        <v>13330</v>
      </c>
      <c r="G13" s="108">
        <v>0.13969232059020792</v>
      </c>
      <c r="J13" s="211" t="s">
        <v>266</v>
      </c>
      <c r="K13" s="126">
        <f>INDEX(C:C,COUNTA(C:C)-1)</f>
        <v>505</v>
      </c>
      <c r="L13" s="126">
        <f>INDEX(C:C,COUNTA(C:C))</f>
        <v>685</v>
      </c>
      <c r="M13" s="126" t="str">
        <f>IF(K13&gt;L13,"▼ "&amp;TEXT(ABS((L13-K13)/K13),"0.00%"),"▲ "&amp;TEXT(ABS((L13-K13)/K13),"0.00%"))</f>
        <v>▲ 35.64%</v>
      </c>
      <c r="P13" s="127"/>
      <c r="Q13" s="114"/>
      <c r="R13" s="105" t="str">
        <f>"콘텐츠 참여 "&amp;TEXT(L16,"#,###")&amp;"로 전월 대비 "&amp;IF(L16&gt;=K16,TEXT((L16-K16)/K16,"#.#0%")&amp;" 증가",TEXT(ABS((L16-K16)/K16),"#.#0%")&amp;" 감소")</f>
        <v>콘텐츠 참여 15,036로 전월 대비 43.04% 증가</v>
      </c>
    </row>
    <row r="14" spans="1:26">
      <c r="A14" s="106">
        <v>45444</v>
      </c>
      <c r="B14" s="107">
        <v>24386</v>
      </c>
      <c r="C14" s="107">
        <v>337</v>
      </c>
      <c r="D14" s="107">
        <v>9</v>
      </c>
      <c r="E14" s="107">
        <v>165188</v>
      </c>
      <c r="F14" s="107">
        <v>10531</v>
      </c>
      <c r="G14" s="108">
        <v>6.3751604232752987E-2</v>
      </c>
      <c r="J14" s="211" t="s">
        <v>16</v>
      </c>
      <c r="K14" s="129">
        <f>INDEX(D:D,COUNTA(D:D)-1)</f>
        <v>15</v>
      </c>
      <c r="L14" s="126">
        <f>INDEX(D:D,COUNTA(D:D))</f>
        <v>13</v>
      </c>
      <c r="M14" s="126" t="str">
        <f t="shared" ref="M14:M16" si="0">IF(K14&gt;L14,"▼ "&amp;TEXT(ABS((L14-K14)/K14),"0.00%"),"▲ "&amp;TEXT(ABS((L14-K14)/K14),"0.00%"))</f>
        <v>▼ 13.33%</v>
      </c>
      <c r="P14" s="127"/>
      <c r="Q14" s="114"/>
      <c r="R14" s="105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11,589으로 전월 대비 65.27% 증가</v>
      </c>
    </row>
    <row r="15" spans="1:26">
      <c r="A15" s="106">
        <v>45474</v>
      </c>
      <c r="B15" s="107">
        <v>24480</v>
      </c>
      <c r="C15" s="107">
        <v>505</v>
      </c>
      <c r="D15" s="107">
        <v>15</v>
      </c>
      <c r="E15" s="107">
        <v>105185</v>
      </c>
      <c r="F15" s="107">
        <v>10512</v>
      </c>
      <c r="G15" s="108">
        <v>9.9938204116556545E-2</v>
      </c>
      <c r="H15" s="231"/>
      <c r="J15" s="211" t="s">
        <v>267</v>
      </c>
      <c r="K15" s="126">
        <f>INDEX(E:E,COUNTA(D:D)-1)</f>
        <v>105185</v>
      </c>
      <c r="L15" s="126">
        <f>INDEX(E:E,COUNTA(D:D))</f>
        <v>150663</v>
      </c>
      <c r="M15" s="126" t="str">
        <f t="shared" si="0"/>
        <v>▲ 43.24%</v>
      </c>
      <c r="P15" s="127"/>
      <c r="Q15" s="114"/>
      <c r="R15" s="105" t="str" cm="1">
        <f t="array" ref="R15">"신규 프로필 방문 " &amp; TEXT(INDEX('구글시트 data'!$T:$T, COUNTA('구글시트 data'!$T:$T)), "#,###") &amp; "건으로 전월 대비 " &amp;
TEXT(ABS(INDEX('구글시트 data'!$T:$T, COUNTA('구글시트 data'!$T:$T)) - INDEX('구글시트 data'!$T:$T, COUNTA('구글시트 data'!$T:$T) - 1))/ INDEX('구글시트 data'!$T:$T, COUNTA('구글시트 data'!$T:$T) - 1), "0.00%") &amp;
IF(INDEX('구글시트 data'!$T:$T, COUNTA('구글시트 data'!$T:$T)) &gt;= INDEX('구글시트 data'!$T:$T, COUNTA('구글시트 data'!$T:$T) - 1), " 증가", " 감소")</f>
        <v>신규 프로필 방문 4,186건으로 전월 대비 4.29% 증가</v>
      </c>
      <c r="Z15" s="131"/>
    </row>
    <row r="16" spans="1:26">
      <c r="A16" s="106">
        <v>45505</v>
      </c>
      <c r="B16" s="107">
        <v>24781</v>
      </c>
      <c r="C16" s="107">
        <v>685</v>
      </c>
      <c r="D16" s="107">
        <v>13</v>
      </c>
      <c r="E16" s="107">
        <v>150663</v>
      </c>
      <c r="F16" s="107">
        <v>15036</v>
      </c>
      <c r="G16" s="108">
        <v>9.9798888911013323E-2</v>
      </c>
      <c r="J16" s="211" t="s">
        <v>268</v>
      </c>
      <c r="K16" s="126">
        <f>INDEX(F:F,COUNTA(D:D)-1)</f>
        <v>10512</v>
      </c>
      <c r="L16" s="126">
        <f>INDEX(F:F,COUNTA(D:D))</f>
        <v>15036</v>
      </c>
      <c r="M16" s="126" t="str">
        <f t="shared" si="0"/>
        <v>▲ 43.04%</v>
      </c>
      <c r="P16" s="127"/>
      <c r="Q16" s="114"/>
      <c r="R16" s="105" t="str">
        <f>MONTH(I5) &amp; "월 콘텐츠 참여율 " &amp; TEXT(L17, "0.00%") &amp; "확보, 전월 대비 " &amp;
TEXT(ABS(L17 - K17), "0.00%p") &amp; IF(L17&gt;=K17, " 증가", " 감소")</f>
        <v>8월 콘텐츠 참여율 9.98%확보, 전월 대비 0.01%p 감소</v>
      </c>
    </row>
    <row r="17" spans="1:23">
      <c r="A17" s="106"/>
      <c r="B17" s="107"/>
      <c r="C17" s="107"/>
      <c r="D17" s="107"/>
      <c r="E17" s="107"/>
      <c r="F17" s="107"/>
      <c r="G17" s="108"/>
      <c r="J17" s="211" t="s">
        <v>269</v>
      </c>
      <c r="K17" s="132">
        <f>INDEX(G:G,COUNTA(D:D)-1)</f>
        <v>9.9938204116556545E-2</v>
      </c>
      <c r="L17" s="132">
        <f>INDEX(G:G,COUNTA(D:D))</f>
        <v>9.9798888911013323E-2</v>
      </c>
      <c r="M17" s="126" t="str">
        <f>IF(K17&gt;L17,"▼ "&amp;TEXT(100*ABS(L17-K17),"0.00")&amp;"%p","▲ "&amp;TEXT(100*ABS(L17-K17),"0.00")&amp;"%p")</f>
        <v>▼ 0.01%p</v>
      </c>
      <c r="P17" s="127"/>
      <c r="Q17" s="114"/>
    </row>
    <row r="18" spans="1:23">
      <c r="A18" s="106"/>
      <c r="B18" s="107"/>
      <c r="C18" s="107"/>
      <c r="D18" s="107"/>
      <c r="E18" s="107"/>
      <c r="F18" s="107"/>
      <c r="G18" s="108"/>
      <c r="J18" s="133"/>
      <c r="Q18" s="114"/>
    </row>
    <row r="19" spans="1:23">
      <c r="A19" s="106"/>
      <c r="B19" s="107"/>
      <c r="C19" s="107"/>
      <c r="D19" s="107"/>
      <c r="E19" s="107"/>
      <c r="F19" s="107"/>
      <c r="G19" s="108"/>
      <c r="Q19" s="114"/>
    </row>
    <row r="20" spans="1:23">
      <c r="A20" s="106"/>
      <c r="B20" s="107"/>
      <c r="C20" s="107"/>
      <c r="D20" s="107"/>
      <c r="E20" s="107"/>
      <c r="F20" s="107"/>
      <c r="G20" s="108"/>
      <c r="Q20" s="114"/>
    </row>
    <row r="21" spans="1:23">
      <c r="A21" s="106"/>
      <c r="B21" s="107"/>
      <c r="C21" s="107"/>
      <c r="D21" s="107"/>
      <c r="E21" s="107"/>
      <c r="F21" s="107"/>
      <c r="G21" s="108"/>
      <c r="Q21" s="114"/>
      <c r="R21" s="114" t="s">
        <v>456</v>
      </c>
    </row>
    <row r="22" spans="1:23">
      <c r="A22" s="106"/>
      <c r="B22" s="107"/>
      <c r="C22" s="107"/>
      <c r="D22" s="107"/>
      <c r="E22" s="107"/>
      <c r="F22" s="107"/>
      <c r="G22" s="108"/>
      <c r="Q22" s="114"/>
      <c r="R22" s="137" t="s">
        <v>451</v>
      </c>
    </row>
    <row r="23" spans="1:23">
      <c r="A23" s="106"/>
      <c r="B23" s="107"/>
      <c r="C23" s="107"/>
      <c r="D23" s="107"/>
      <c r="E23" s="107"/>
      <c r="F23" s="107"/>
      <c r="G23" s="108"/>
      <c r="Q23" s="114"/>
      <c r="R23" s="137" t="s">
        <v>452</v>
      </c>
    </row>
    <row r="24" spans="1:23">
      <c r="A24" s="106"/>
      <c r="B24" s="107"/>
      <c r="C24" s="107"/>
      <c r="D24" s="107"/>
      <c r="E24" s="107"/>
      <c r="F24" s="107"/>
      <c r="G24" s="108"/>
      <c r="Q24" s="114"/>
      <c r="R24" s="230" t="s">
        <v>453</v>
      </c>
      <c r="W24" s="105" t="s">
        <v>455</v>
      </c>
    </row>
    <row r="25" spans="1:23">
      <c r="A25" s="106"/>
      <c r="B25" s="107"/>
      <c r="C25" s="107"/>
      <c r="D25" s="107"/>
      <c r="E25" s="107"/>
      <c r="F25" s="107"/>
      <c r="G25" s="108"/>
      <c r="Q25" s="114"/>
      <c r="R25" s="230" t="s">
        <v>454</v>
      </c>
      <c r="W25" s="105" t="s">
        <v>457</v>
      </c>
    </row>
    <row r="26" spans="1:23">
      <c r="A26" s="106"/>
      <c r="B26" s="107"/>
      <c r="C26" s="107"/>
      <c r="D26" s="107"/>
      <c r="E26" s="107"/>
      <c r="F26" s="107"/>
      <c r="G26" s="108"/>
      <c r="Q26" s="114"/>
    </row>
    <row r="27" spans="1:23">
      <c r="A27" s="106"/>
      <c r="B27" s="107"/>
      <c r="C27" s="107"/>
      <c r="D27" s="107"/>
      <c r="E27" s="107"/>
      <c r="F27" s="107"/>
      <c r="G27" s="108"/>
      <c r="Q27" s="114"/>
    </row>
    <row r="28" spans="1:23">
      <c r="A28" s="106"/>
      <c r="B28" s="107"/>
      <c r="C28" s="107"/>
      <c r="D28" s="107"/>
      <c r="E28" s="107"/>
      <c r="F28" s="107"/>
      <c r="G28" s="108"/>
      <c r="Q28" s="114"/>
      <c r="R28" s="105" t="s">
        <v>242</v>
      </c>
    </row>
    <row r="29" spans="1:23">
      <c r="A29" s="106"/>
      <c r="B29" s="107"/>
      <c r="C29" s="107"/>
      <c r="D29" s="107"/>
      <c r="E29" s="107"/>
      <c r="F29" s="107"/>
      <c r="G29" s="108"/>
      <c r="Q29" s="114"/>
      <c r="R29" s="105" t="s">
        <v>449</v>
      </c>
    </row>
    <row r="30" spans="1:23">
      <c r="A30" s="106"/>
      <c r="B30" s="107"/>
      <c r="C30" s="107"/>
      <c r="D30" s="107"/>
      <c r="E30" s="107"/>
      <c r="F30" s="107"/>
      <c r="G30" s="108"/>
      <c r="Q30" s="114"/>
    </row>
    <row r="31" spans="1:23">
      <c r="A31" s="106"/>
      <c r="B31" s="107"/>
      <c r="C31" s="107"/>
      <c r="D31" s="107"/>
      <c r="E31" s="107"/>
      <c r="F31" s="107"/>
      <c r="G31" s="108"/>
      <c r="Q31" s="114"/>
    </row>
    <row r="32" spans="1:23">
      <c r="A32" s="106"/>
      <c r="B32" s="107"/>
      <c r="C32" s="107"/>
      <c r="D32" s="107"/>
      <c r="E32" s="107"/>
      <c r="F32" s="107"/>
      <c r="G32" s="108"/>
      <c r="Q32" s="114"/>
    </row>
    <row r="33" spans="1:17">
      <c r="A33" s="106"/>
      <c r="B33" s="107"/>
      <c r="C33" s="107"/>
      <c r="D33" s="107"/>
      <c r="E33" s="107"/>
      <c r="F33" s="107"/>
      <c r="G33" s="108"/>
      <c r="Q33" s="114"/>
    </row>
    <row r="34" spans="1:17">
      <c r="A34" s="106"/>
      <c r="B34" s="107"/>
      <c r="C34" s="107"/>
      <c r="D34" s="107"/>
      <c r="E34" s="107"/>
      <c r="F34" s="107"/>
      <c r="G34" s="108"/>
      <c r="Q34" s="114"/>
    </row>
    <row r="35" spans="1:17">
      <c r="A35" s="106"/>
      <c r="B35" s="107"/>
      <c r="C35" s="107"/>
      <c r="D35" s="107"/>
      <c r="E35" s="107"/>
      <c r="F35" s="107"/>
      <c r="G35" s="108"/>
      <c r="Q35" s="114"/>
    </row>
    <row r="36" spans="1:17">
      <c r="A36" s="106"/>
      <c r="B36" s="107"/>
      <c r="C36" s="107"/>
      <c r="D36" s="107"/>
      <c r="E36" s="107"/>
      <c r="F36" s="107"/>
      <c r="G36" s="108"/>
      <c r="Q36" s="114"/>
    </row>
    <row r="37" spans="1:17">
      <c r="A37" s="106"/>
      <c r="B37" s="107"/>
      <c r="C37" s="107"/>
      <c r="D37" s="107"/>
      <c r="E37" s="107"/>
      <c r="F37" s="107"/>
      <c r="G37" s="108"/>
      <c r="Q37" s="114"/>
    </row>
    <row r="38" spans="1:17">
      <c r="A38" s="106"/>
      <c r="B38" s="107"/>
      <c r="C38" s="107"/>
      <c r="D38" s="107"/>
      <c r="E38" s="107"/>
      <c r="F38" s="107"/>
      <c r="G38" s="108"/>
      <c r="Q38" s="114"/>
    </row>
    <row r="39" spans="1:17">
      <c r="A39" s="106"/>
      <c r="B39" s="107"/>
      <c r="C39" s="107"/>
      <c r="D39" s="107"/>
      <c r="E39" s="107"/>
      <c r="F39" s="107"/>
      <c r="G39" s="108"/>
      <c r="Q39" s="114"/>
    </row>
    <row r="40" spans="1:17">
      <c r="A40" s="106"/>
      <c r="B40" s="107"/>
      <c r="C40" s="107"/>
      <c r="D40" s="107"/>
      <c r="E40" s="107"/>
      <c r="F40" s="107"/>
      <c r="G40" s="108"/>
      <c r="Q40" s="114"/>
    </row>
    <row r="41" spans="1:17">
      <c r="A41" s="106"/>
      <c r="B41" s="107"/>
      <c r="C41" s="107"/>
      <c r="D41" s="107"/>
      <c r="E41" s="107"/>
      <c r="F41" s="107"/>
      <c r="G41" s="108"/>
      <c r="Q41" s="114"/>
    </row>
    <row r="42" spans="1:17">
      <c r="A42" s="106"/>
      <c r="B42" s="107"/>
      <c r="C42" s="107"/>
      <c r="D42" s="107"/>
      <c r="E42" s="107"/>
      <c r="F42" s="107"/>
      <c r="G42" s="108"/>
      <c r="Q42" s="114"/>
    </row>
    <row r="43" spans="1:17">
      <c r="A43" s="106"/>
      <c r="B43" s="107"/>
      <c r="C43" s="107"/>
      <c r="D43" s="107"/>
      <c r="E43" s="107"/>
      <c r="F43" s="107"/>
      <c r="G43" s="108"/>
      <c r="Q43" s="114"/>
    </row>
    <row r="44" spans="1:17">
      <c r="A44" s="106"/>
      <c r="B44" s="107"/>
      <c r="C44" s="107"/>
      <c r="D44" s="107"/>
      <c r="E44" s="107"/>
      <c r="F44" s="107"/>
      <c r="G44" s="108"/>
      <c r="Q44" s="114"/>
    </row>
    <row r="45" spans="1:17">
      <c r="A45" s="106"/>
      <c r="B45" s="107"/>
      <c r="C45" s="107"/>
      <c r="D45" s="107"/>
      <c r="E45" s="107"/>
      <c r="F45" s="107"/>
      <c r="G45" s="108"/>
      <c r="Q45" s="114"/>
    </row>
    <row r="46" spans="1:17">
      <c r="A46" s="106"/>
      <c r="B46" s="107"/>
      <c r="C46" s="107"/>
      <c r="D46" s="107"/>
      <c r="E46" s="107"/>
      <c r="F46" s="107"/>
      <c r="G46" s="108"/>
      <c r="Q46" s="114"/>
    </row>
    <row r="47" spans="1:17">
      <c r="A47" s="106"/>
      <c r="B47" s="107"/>
      <c r="C47" s="107"/>
      <c r="D47" s="107"/>
      <c r="E47" s="107"/>
      <c r="F47" s="107"/>
      <c r="G47" s="108"/>
      <c r="Q47" s="114"/>
    </row>
    <row r="48" spans="1:17">
      <c r="A48" s="106"/>
      <c r="B48" s="107"/>
      <c r="C48" s="107"/>
      <c r="D48" s="107"/>
      <c r="E48" s="107"/>
      <c r="F48" s="107"/>
      <c r="G48" s="108"/>
      <c r="Q48" s="114"/>
    </row>
    <row r="49" spans="1:17">
      <c r="A49" s="106"/>
      <c r="B49" s="107"/>
      <c r="C49" s="107"/>
      <c r="D49" s="107"/>
      <c r="E49" s="107"/>
      <c r="F49" s="107"/>
      <c r="G49" s="108"/>
      <c r="Q49" s="114"/>
    </row>
    <row r="50" spans="1:17">
      <c r="A50" s="106"/>
      <c r="B50" s="107"/>
      <c r="C50" s="107"/>
      <c r="D50" s="107"/>
      <c r="E50" s="107"/>
      <c r="F50" s="107"/>
      <c r="G50" s="108"/>
      <c r="Q50" s="114"/>
    </row>
    <row r="51" spans="1:17">
      <c r="A51" s="106"/>
      <c r="B51" s="107"/>
      <c r="C51" s="107"/>
      <c r="D51" s="107"/>
      <c r="E51" s="107"/>
      <c r="F51" s="107"/>
      <c r="G51" s="108"/>
      <c r="Q51" s="114"/>
    </row>
    <row r="52" spans="1:17">
      <c r="A52" s="106"/>
      <c r="B52" s="107"/>
      <c r="C52" s="107"/>
      <c r="D52" s="107"/>
      <c r="E52" s="107"/>
      <c r="F52" s="107"/>
      <c r="G52" s="108"/>
      <c r="Q52" s="114"/>
    </row>
    <row r="53" spans="1:17">
      <c r="A53" s="106"/>
      <c r="B53" s="107"/>
      <c r="C53" s="107"/>
      <c r="D53" s="107"/>
      <c r="E53" s="107"/>
      <c r="F53" s="107"/>
      <c r="G53" s="108"/>
      <c r="Q53" s="114"/>
    </row>
    <row r="54" spans="1:17">
      <c r="A54" s="106"/>
      <c r="B54" s="107"/>
      <c r="C54" s="107"/>
      <c r="D54" s="107"/>
      <c r="E54" s="107"/>
      <c r="F54" s="107"/>
      <c r="G54" s="108"/>
      <c r="Q54" s="114"/>
    </row>
    <row r="55" spans="1:17">
      <c r="A55" s="106"/>
      <c r="B55" s="107"/>
      <c r="C55" s="107"/>
      <c r="D55" s="107"/>
      <c r="E55" s="107"/>
      <c r="F55" s="107"/>
      <c r="G55" s="108"/>
      <c r="Q55" s="114"/>
    </row>
    <row r="56" spans="1:17">
      <c r="A56" s="106"/>
      <c r="B56" s="107"/>
      <c r="C56" s="107"/>
      <c r="D56" s="107"/>
      <c r="E56" s="107"/>
      <c r="F56" s="107"/>
      <c r="G56" s="108"/>
      <c r="Q56" s="114"/>
    </row>
    <row r="57" spans="1:17">
      <c r="A57" s="106"/>
      <c r="B57" s="107"/>
      <c r="C57" s="107"/>
      <c r="D57" s="107"/>
      <c r="E57" s="107"/>
      <c r="F57" s="107"/>
      <c r="G57" s="108"/>
      <c r="Q57" s="114"/>
    </row>
    <row r="58" spans="1:17">
      <c r="A58" s="106"/>
      <c r="B58" s="107"/>
      <c r="C58" s="107"/>
      <c r="D58" s="107"/>
      <c r="E58" s="107"/>
      <c r="F58" s="107"/>
      <c r="G58" s="108"/>
      <c r="Q58" s="114"/>
    </row>
    <row r="59" spans="1:17">
      <c r="A59" s="106"/>
      <c r="B59" s="107"/>
      <c r="C59" s="107"/>
      <c r="D59" s="107"/>
      <c r="E59" s="107"/>
      <c r="F59" s="107"/>
      <c r="G59" s="108"/>
      <c r="Q59" s="114"/>
    </row>
    <row r="60" spans="1:17">
      <c r="A60" s="106"/>
      <c r="B60" s="107"/>
      <c r="C60" s="107"/>
      <c r="D60" s="107"/>
      <c r="E60" s="107"/>
      <c r="F60" s="107"/>
      <c r="G60" s="108"/>
      <c r="Q60" s="114"/>
    </row>
    <row r="61" spans="1:17">
      <c r="A61" s="106"/>
      <c r="B61" s="107"/>
      <c r="C61" s="107"/>
      <c r="D61" s="107"/>
      <c r="E61" s="107"/>
      <c r="F61" s="107"/>
      <c r="G61" s="108"/>
      <c r="Q61" s="114"/>
    </row>
    <row r="62" spans="1:17">
      <c r="A62" s="106"/>
      <c r="B62" s="107"/>
      <c r="C62" s="107"/>
      <c r="D62" s="107"/>
      <c r="E62" s="107"/>
      <c r="F62" s="107"/>
      <c r="G62" s="108"/>
      <c r="Q62" s="114"/>
    </row>
    <row r="63" spans="1:17">
      <c r="A63" s="106"/>
      <c r="B63" s="107"/>
      <c r="C63" s="107"/>
      <c r="D63" s="107"/>
      <c r="E63" s="107"/>
      <c r="F63" s="107"/>
      <c r="G63" s="108"/>
      <c r="Q63" s="114"/>
    </row>
    <row r="64" spans="1:17">
      <c r="A64" s="106"/>
      <c r="B64" s="107"/>
      <c r="C64" s="107"/>
      <c r="D64" s="107"/>
      <c r="E64" s="107"/>
      <c r="F64" s="107"/>
      <c r="G64" s="108"/>
      <c r="Q64" s="114"/>
    </row>
    <row r="65" spans="1:17">
      <c r="A65" s="106"/>
      <c r="B65" s="107"/>
      <c r="C65" s="107"/>
      <c r="D65" s="107"/>
      <c r="E65" s="107"/>
      <c r="F65" s="107"/>
      <c r="G65" s="108"/>
      <c r="Q65" s="114"/>
    </row>
    <row r="66" spans="1:17">
      <c r="A66" s="106"/>
      <c r="B66" s="107"/>
      <c r="C66" s="107"/>
      <c r="D66" s="107"/>
      <c r="E66" s="107"/>
      <c r="F66" s="107"/>
      <c r="G66" s="108"/>
      <c r="Q66" s="114"/>
    </row>
    <row r="67" spans="1:17">
      <c r="A67" s="106"/>
      <c r="B67" s="107"/>
      <c r="C67" s="107"/>
      <c r="D67" s="107"/>
      <c r="E67" s="107"/>
      <c r="F67" s="107"/>
      <c r="G67" s="108"/>
      <c r="Q67" s="114"/>
    </row>
    <row r="68" spans="1:17">
      <c r="A68" s="106"/>
      <c r="B68" s="107"/>
      <c r="C68" s="107"/>
      <c r="D68" s="107"/>
      <c r="E68" s="107"/>
      <c r="F68" s="107"/>
      <c r="G68" s="108"/>
      <c r="Q68" s="114"/>
    </row>
    <row r="69" spans="1:17">
      <c r="A69" s="106"/>
      <c r="B69" s="107"/>
      <c r="C69" s="107"/>
      <c r="D69" s="107"/>
      <c r="E69" s="107"/>
      <c r="F69" s="107"/>
      <c r="G69" s="108"/>
      <c r="Q69" s="114"/>
    </row>
    <row r="70" spans="1:17">
      <c r="A70" s="106"/>
      <c r="B70" s="107"/>
      <c r="C70" s="107"/>
      <c r="D70" s="107"/>
      <c r="E70" s="107"/>
      <c r="F70" s="107"/>
      <c r="G70" s="108"/>
    </row>
    <row r="71" spans="1:17">
      <c r="A71" s="106"/>
      <c r="B71" s="107"/>
      <c r="C71" s="107"/>
      <c r="D71" s="107"/>
      <c r="E71" s="107"/>
      <c r="F71" s="107"/>
      <c r="G71" s="108"/>
    </row>
    <row r="72" spans="1:17">
      <c r="A72" s="106"/>
      <c r="B72" s="107"/>
      <c r="C72" s="107"/>
      <c r="D72" s="107"/>
      <c r="E72" s="107"/>
      <c r="F72" s="107"/>
      <c r="G72" s="108"/>
    </row>
    <row r="73" spans="1:17">
      <c r="A73" s="106"/>
      <c r="B73" s="107"/>
      <c r="C73" s="107"/>
      <c r="D73" s="107"/>
      <c r="E73" s="107"/>
      <c r="F73" s="107"/>
      <c r="G73" s="108"/>
    </row>
    <row r="74" spans="1:17">
      <c r="A74" s="106"/>
      <c r="B74" s="107"/>
      <c r="C74" s="107"/>
      <c r="D74" s="107"/>
      <c r="E74" s="107"/>
      <c r="F74" s="107"/>
      <c r="G74" s="108"/>
    </row>
    <row r="75" spans="1:17">
      <c r="A75" s="106"/>
      <c r="B75" s="107"/>
      <c r="C75" s="107"/>
      <c r="D75" s="107"/>
      <c r="E75" s="107"/>
      <c r="F75" s="107"/>
      <c r="G75" s="108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1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X42"/>
  <sheetViews>
    <sheetView workbookViewId="0">
      <selection activeCell="Y13" sqref="Y13"/>
    </sheetView>
  </sheetViews>
  <sheetFormatPr defaultRowHeight="15"/>
  <cols>
    <col min="1" max="1" width="8.75" style="137"/>
    <col min="2" max="2" width="10" style="137" customWidth="1"/>
    <col min="3" max="3" width="9.25" style="137" customWidth="1"/>
    <col min="4" max="4" width="52.75" style="137" customWidth="1"/>
    <col min="5" max="11" width="9" style="137"/>
    <col min="12" max="15" width="9" style="137" customWidth="1"/>
    <col min="16" max="16" width="10.625" style="137" customWidth="1"/>
    <col min="17" max="17" width="9" style="137" customWidth="1"/>
    <col min="18" max="18" width="9.25" style="137" customWidth="1"/>
    <col min="19" max="20" width="9" style="137" customWidth="1"/>
    <col min="21" max="22" width="9" style="137"/>
    <col min="23" max="23" width="11" style="157" bestFit="1" customWidth="1"/>
    <col min="24" max="16384" width="9" style="137"/>
  </cols>
  <sheetData>
    <row r="1" spans="1:24">
      <c r="B1" s="137" t="s">
        <v>89</v>
      </c>
      <c r="D1" s="125" t="str">
        <f ca="1">"인스타그램 스토리 총 "&amp;SUM('IG story data'!R:R)&amp;"건 게시, "&amp;W4&amp;" "&amp;X4&amp;"건, "&amp;W5&amp;" "&amp;X5&amp;"건, "&amp;W6&amp;" "&amp;X6&amp;"건, "&amp;W7&amp;" "&amp;X7&amp;"건"</f>
        <v>인스타그램 스토리 총 10건 게시, 노출 3283건, 도달 3251건, 프로필 방문 60건, 링크 클릭 23건</v>
      </c>
      <c r="W1" s="152" t="s">
        <v>115</v>
      </c>
    </row>
    <row r="2" spans="1:24">
      <c r="P2" s="151"/>
      <c r="W2" s="152"/>
    </row>
    <row r="3" spans="1:24" ht="15.75" thickBot="1">
      <c r="A3" s="209"/>
      <c r="B3" s="183" t="s">
        <v>94</v>
      </c>
      <c r="C3" s="183" t="s">
        <v>53</v>
      </c>
      <c r="D3" s="184" t="s">
        <v>189</v>
      </c>
      <c r="E3" s="183" t="s">
        <v>55</v>
      </c>
      <c r="F3" s="183" t="s">
        <v>74</v>
      </c>
      <c r="G3" s="183" t="s">
        <v>45</v>
      </c>
      <c r="H3" s="183" t="s">
        <v>191</v>
      </c>
      <c r="I3" s="183" t="s">
        <v>121</v>
      </c>
      <c r="J3" s="183" t="s">
        <v>122</v>
      </c>
      <c r="K3" s="183" t="s">
        <v>204</v>
      </c>
      <c r="L3" s="183" t="s">
        <v>17</v>
      </c>
      <c r="M3" s="183" t="s">
        <v>18</v>
      </c>
      <c r="N3" s="183" t="s">
        <v>75</v>
      </c>
      <c r="O3" s="183" t="s">
        <v>54</v>
      </c>
      <c r="P3" s="183" t="s">
        <v>83</v>
      </c>
      <c r="W3" s="152" t="s">
        <v>192</v>
      </c>
    </row>
    <row r="4" spans="1:24" ht="17.45" customHeight="1">
      <c r="A4" s="209">
        <v>1</v>
      </c>
      <c r="B4" s="195">
        <f>IFERROR(INDEX('IG 콘텐츠 data'!R:R,MATCH('IG 신규발행'!A4,'IG 콘텐츠 data'!S:S,0)),"")</f>
        <v>45527</v>
      </c>
      <c r="C4" s="197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이미지</v>
      </c>
      <c r="D4" s="197" t="str">
        <f>IFERROR(INDEX('IG 콘텐츠 data'!$A$1:$AJ$25,MATCH('IG 신규발행'!$A4,'IG 콘텐츠 data'!$S:$S,0),MATCH(D$3,'IG 콘텐츠 data'!$A$1:$Q$1,0)),"")</f>
        <v>[EVENT] 에너지食 Ep. 3</v>
      </c>
      <c r="E4" s="197">
        <f>IFERROR(INDEX('IG 콘텐츠 data'!$A$1:$AJ$25,MATCH('IG 신규발행'!$A4,'IG 콘텐츠 data'!$S:$S,0),MATCH(E$3,'IG 콘텐츠 data'!$A$1:$Q$1,0)),"")</f>
        <v>8729</v>
      </c>
      <c r="F4" s="197">
        <f>IFERROR(INDEX('IG 콘텐츠 data'!$A$1:$AJ$25,MATCH('IG 신규발행'!$A4,'IG 콘텐츠 data'!$S:$S,0),MATCH(F$3,'IG 콘텐츠 data'!$A$1:$Q$1,0)),"")</f>
        <v>5633</v>
      </c>
      <c r="G4" s="197">
        <f>IFERROR(INDEX('IG 콘텐츠 data'!$A$1:$AJ$25,MATCH('IG 신규발행'!$A4,'IG 콘텐츠 data'!$S:$S,0),MATCH(G$3,'IG 콘텐츠 data'!$A$1:$Q$1,0)),"")</f>
        <v>20</v>
      </c>
      <c r="H4" s="197">
        <f>IFERROR(INDEX('IG 콘텐츠 data'!$A$1:$AJ$25,MATCH('IG 신규발행'!$A4,'IG 콘텐츠 data'!$S:$S,0),MATCH(H$3,'IG 콘텐츠 data'!$A$1:$Q$1,0)),"")</f>
        <v>705</v>
      </c>
      <c r="I4" s="197">
        <f>IFERROR(INDEX('IG 콘텐츠 data'!$A$1:$AJ$25,MATCH('IG 신규발행'!$A4,'IG 콘텐츠 data'!$S:$S,0),MATCH(I$3,'IG 콘텐츠 data'!$A$1:$Q$1,0)),"")</f>
        <v>213</v>
      </c>
      <c r="J4" s="197" t="str">
        <f>IFERROR(INDEX('IG 콘텐츠 data'!$A$1:$AJ$25,MATCH('IG 신규발행'!$A4,'IG 콘텐츠 data'!$S:$S,0),MATCH(J$3,'IG 콘텐츠 data'!$A$1:$Q$1,0)),"")</f>
        <v>-</v>
      </c>
      <c r="K4" s="210" t="str">
        <f>IFERROR(INDEX('IG 콘텐츠 data'!$A$1:$AJ$25,MATCH('IG 신규발행'!$A4,'IG 콘텐츠 data'!$S:$S,0),MATCH(K$3,'IG 콘텐츠 data'!$A$1:$Q$1,0)),"")</f>
        <v>-</v>
      </c>
      <c r="L4" s="197">
        <f>IFERROR(INDEX('IG 콘텐츠 data'!$A$1:$AJ$25,MATCH('IG 신규발행'!$A4,'IG 콘텐츠 data'!$S:$S,0),MATCH(L$3,'IG 콘텐츠 data'!$A$1:$Q$1,0)),"")</f>
        <v>1088</v>
      </c>
      <c r="M4" s="197">
        <f>IFERROR(INDEX('IG 콘텐츠 data'!$A$1:$AJ$25,MATCH('IG 신규발행'!$A4,'IG 콘텐츠 data'!$S:$S,0),MATCH(M$3,'IG 콘텐츠 data'!$A$1:$Q$1,0)),"")</f>
        <v>1221</v>
      </c>
      <c r="N4" s="197">
        <f>IFERROR(INDEX('IG 콘텐츠 data'!$A$1:$AJ$25,MATCH('IG 신규발행'!$A4,'IG 콘텐츠 data'!$S:$S,0),MATCH(N$3,'IG 콘텐츠 data'!$A$1:$Q$1,0)),"")</f>
        <v>68</v>
      </c>
      <c r="O4" s="197">
        <f t="shared" ref="O4:O42" si="0">IF(B4="","",SUM(L4:N4)+G4)</f>
        <v>2397</v>
      </c>
      <c r="P4" s="198">
        <f t="shared" ref="P4:P42" si="1">IFERROR(O4/F4,"")</f>
        <v>0.42552813775963072</v>
      </c>
      <c r="R4" s="137">
        <f>RANK(N4,$N$4:$N$42,0)</f>
        <v>2</v>
      </c>
      <c r="S4" s="137" t="e">
        <f>RANK(J4,$J$4:$J$42,0)</f>
        <v>#VALUE!</v>
      </c>
      <c r="W4" s="185" t="s">
        <v>55</v>
      </c>
      <c r="X4" s="186">
        <f ca="1">SUM(INDIRECT("'IG STORY DATA'!R"&amp;1&amp;"C"&amp;(MATCH(W4,'IG story data'!$A$1:$U$1,0)),FALSE):INDIRECT("'IG STORY DATA'!R"&amp;30&amp;"C"&amp;(MATCH(W4,'IG story data'!$A$1:$U$1,0)),FALSE))</f>
        <v>3283</v>
      </c>
    </row>
    <row r="5" spans="1:24" ht="17.45" customHeight="1">
      <c r="A5" s="209">
        <v>2</v>
      </c>
      <c r="B5" s="195">
        <f>IFERROR(INDEX('IG 콘텐츠 data'!R:R,MATCH('IG 신규발행'!A5,'IG 콘텐츠 data'!S:S,0)),"")</f>
        <v>45530</v>
      </c>
      <c r="C5" s="197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이미지</v>
      </c>
      <c r="D5" s="197" t="str">
        <f>IFERROR(INDEX('IG 콘텐츠 data'!$A$1:$AJ$25,MATCH('IG 신규발행'!$A5,'IG 콘텐츠 data'!$S:$S,0),MATCH(D$3,'IG 콘텐츠 data'!$A$1:$Q$1,0)),"")</f>
        <v>이노드림(요한 볼프강 폰 괴테)</v>
      </c>
      <c r="E5" s="197">
        <f>IFERROR(INDEX('IG 콘텐츠 data'!$A$1:$AJ$25,MATCH('IG 신규발행'!$A5,'IG 콘텐츠 data'!$S:$S,0),MATCH(E$3,'IG 콘텐츠 data'!$A$1:$Q$1,0)),"")</f>
        <v>5898</v>
      </c>
      <c r="F5" s="197">
        <f>IFERROR(INDEX('IG 콘텐츠 data'!$A$1:$AJ$25,MATCH('IG 신규발행'!$A5,'IG 콘텐츠 data'!$S:$S,0),MATCH(F$3,'IG 콘텐츠 data'!$A$1:$Q$1,0)),"")</f>
        <v>3996</v>
      </c>
      <c r="G5" s="197">
        <f>IFERROR(INDEX('IG 콘텐츠 data'!$A$1:$AJ$25,MATCH('IG 신규발행'!$A5,'IG 콘텐츠 data'!$S:$S,0),MATCH(G$3,'IG 콘텐츠 data'!$A$1:$Q$1,0)),"")</f>
        <v>0</v>
      </c>
      <c r="H5" s="197">
        <f>IFERROR(INDEX('IG 콘텐츠 data'!$A$1:$AJ$25,MATCH('IG 신규발행'!$A5,'IG 콘텐츠 data'!$S:$S,0),MATCH(H$3,'IG 콘텐츠 data'!$A$1:$Q$1,0)),"")</f>
        <v>3</v>
      </c>
      <c r="I5" s="197">
        <f>IFERROR(INDEX('IG 콘텐츠 data'!$A$1:$AJ$25,MATCH('IG 신규발행'!$A5,'IG 콘텐츠 data'!$S:$S,0),MATCH(I$3,'IG 콘텐츠 data'!$A$1:$Q$1,0)),"")</f>
        <v>0</v>
      </c>
      <c r="J5" s="197" t="str">
        <f>IFERROR(INDEX('IG 콘텐츠 data'!$A$1:$AJ$25,MATCH('IG 신규발행'!$A5,'IG 콘텐츠 data'!$S:$S,0),MATCH(J$3,'IG 콘텐츠 data'!$A$1:$Q$1,0)),"")</f>
        <v>-</v>
      </c>
      <c r="K5" s="210" t="str">
        <f>IFERROR(INDEX('IG 콘텐츠 data'!$A$1:$AJ$25,MATCH('IG 신규발행'!$A5,'IG 콘텐츠 data'!$S:$S,0),MATCH(K$3,'IG 콘텐츠 data'!$A$1:$Q$1,0)),"")</f>
        <v>-</v>
      </c>
      <c r="L5" s="197">
        <f>IFERROR(INDEX('IG 콘텐츠 data'!$A$1:$AJ$25,MATCH('IG 신규발행'!$A5,'IG 콘텐츠 data'!$S:$S,0),MATCH(L$3,'IG 콘텐츠 data'!$A$1:$Q$1,0)),"")</f>
        <v>1214</v>
      </c>
      <c r="M5" s="197">
        <f>IFERROR(INDEX('IG 콘텐츠 data'!$A$1:$AJ$25,MATCH('IG 신규발행'!$A5,'IG 콘텐츠 data'!$S:$S,0),MATCH(M$3,'IG 콘텐츠 data'!$A$1:$Q$1,0)),"")</f>
        <v>6</v>
      </c>
      <c r="N5" s="197">
        <f>IFERROR(INDEX('IG 콘텐츠 data'!$A$1:$AJ$25,MATCH('IG 신규발행'!$A5,'IG 콘텐츠 data'!$S:$S,0),MATCH(N$3,'IG 콘텐츠 data'!$A$1:$Q$1,0)),"")</f>
        <v>21</v>
      </c>
      <c r="O5" s="197">
        <f t="shared" si="0"/>
        <v>1241</v>
      </c>
      <c r="P5" s="198">
        <f t="shared" si="1"/>
        <v>0.31056056056056058</v>
      </c>
      <c r="R5" s="137">
        <f t="shared" ref="R5:R42" si="2">RANK(N5,$N$4:$N$42,0)</f>
        <v>9</v>
      </c>
      <c r="S5" s="137" t="e">
        <f t="shared" ref="S5:S42" si="3">RANK(J5,$J$4:$J$42,0)</f>
        <v>#VALUE!</v>
      </c>
      <c r="W5" s="187" t="s">
        <v>62</v>
      </c>
      <c r="X5" s="188">
        <f ca="1">SUM(INDIRECT("'IG STORY DATA'!R"&amp;1&amp;"C"&amp;(MATCH(W5,'IG story data'!$A$1:$U$1,0)),FALSE):INDIRECT("'IG STORY DATA'!R"&amp;30&amp;"C"&amp;(MATCH(W5,'IG story data'!$A$1:$U$1,0)),FALSE))</f>
        <v>3251</v>
      </c>
    </row>
    <row r="6" spans="1:24" ht="17.45" customHeight="1">
      <c r="A6" s="209">
        <v>3</v>
      </c>
      <c r="B6" s="195">
        <f>IFERROR(INDEX('IG 콘텐츠 data'!R:R,MATCH('IG 신규발행'!A6,'IG 콘텐츠 data'!S:S,0)),"")</f>
        <v>45523</v>
      </c>
      <c r="C6" s="197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이미지</v>
      </c>
      <c r="D6" s="197" t="str">
        <f>IFERROR(INDEX('IG 콘텐츠 data'!$A$1:$AJ$25,MATCH('IG 신규발행'!$A6,'IG 콘텐츠 data'!$S:$S,0),MATCH(D$3,'IG 콘텐츠 data'!$A$1:$Q$1,0)),"")</f>
        <v>이노드림(요한 고트프리트 헤르더)</v>
      </c>
      <c r="E6" s="197">
        <f>IFERROR(INDEX('IG 콘텐츠 data'!$A$1:$AJ$25,MATCH('IG 신규발행'!$A6,'IG 콘텐츠 data'!$S:$S,0),MATCH(E$3,'IG 콘텐츠 data'!$A$1:$Q$1,0)),"")</f>
        <v>8666</v>
      </c>
      <c r="F6" s="197">
        <f>IFERROR(INDEX('IG 콘텐츠 data'!$A$1:$AJ$25,MATCH('IG 신규발행'!$A6,'IG 콘텐츠 data'!$S:$S,0),MATCH(F$3,'IG 콘텐츠 data'!$A$1:$Q$1,0)),"")</f>
        <v>5993</v>
      </c>
      <c r="G6" s="197">
        <f>IFERROR(INDEX('IG 콘텐츠 data'!$A$1:$AJ$25,MATCH('IG 신규발행'!$A6,'IG 콘텐츠 data'!$S:$S,0),MATCH(G$3,'IG 콘텐츠 data'!$A$1:$Q$1,0)),"")</f>
        <v>0</v>
      </c>
      <c r="H6" s="197">
        <f>IFERROR(INDEX('IG 콘텐츠 data'!$A$1:$AJ$25,MATCH('IG 신규발행'!$A6,'IG 콘텐츠 data'!$S:$S,0),MATCH(H$3,'IG 콘텐츠 data'!$A$1:$Q$1,0)),"")</f>
        <v>9</v>
      </c>
      <c r="I6" s="197">
        <f>IFERROR(INDEX('IG 콘텐츠 data'!$A$1:$AJ$25,MATCH('IG 신규발행'!$A6,'IG 콘텐츠 data'!$S:$S,0),MATCH(I$3,'IG 콘텐츠 data'!$A$1:$Q$1,0)),"")</f>
        <v>0</v>
      </c>
      <c r="J6" s="197" t="str">
        <f>IFERROR(INDEX('IG 콘텐츠 data'!$A$1:$AJ$25,MATCH('IG 신규발행'!$A6,'IG 콘텐츠 data'!$S:$S,0),MATCH(J$3,'IG 콘텐츠 data'!$A$1:$Q$1,0)),"")</f>
        <v>-</v>
      </c>
      <c r="K6" s="210" t="str">
        <f>IFERROR(INDEX('IG 콘텐츠 data'!$A$1:$AJ$25,MATCH('IG 신규발행'!$A6,'IG 콘텐츠 data'!$S:$S,0),MATCH(K$3,'IG 콘텐츠 data'!$A$1:$Q$1,0)),"")</f>
        <v>-</v>
      </c>
      <c r="L6" s="197">
        <f>IFERROR(INDEX('IG 콘텐츠 data'!$A$1:$AJ$25,MATCH('IG 신규발행'!$A6,'IG 콘텐츠 data'!$S:$S,0),MATCH(L$3,'IG 콘텐츠 data'!$A$1:$Q$1,0)),"")</f>
        <v>1572</v>
      </c>
      <c r="M6" s="197">
        <f>IFERROR(INDEX('IG 콘텐츠 data'!$A$1:$AJ$25,MATCH('IG 신규발행'!$A6,'IG 콘텐츠 data'!$S:$S,0),MATCH(M$3,'IG 콘텐츠 data'!$A$1:$Q$1,0)),"")</f>
        <v>7</v>
      </c>
      <c r="N6" s="197">
        <f>IFERROR(INDEX('IG 콘텐츠 data'!$A$1:$AJ$25,MATCH('IG 신규발행'!$A6,'IG 콘텐츠 data'!$S:$S,0),MATCH(N$3,'IG 콘텐츠 data'!$A$1:$Q$1,0)),"")</f>
        <v>40</v>
      </c>
      <c r="O6" s="197">
        <f t="shared" si="0"/>
        <v>1619</v>
      </c>
      <c r="P6" s="198">
        <f t="shared" si="1"/>
        <v>0.27014850659102285</v>
      </c>
      <c r="R6" s="137">
        <f t="shared" si="2"/>
        <v>5</v>
      </c>
      <c r="S6" s="137" t="e">
        <f t="shared" si="3"/>
        <v>#VALUE!</v>
      </c>
      <c r="W6" s="187" t="s">
        <v>191</v>
      </c>
      <c r="X6" s="188">
        <f ca="1">SUM(INDIRECT("'IG STORY DATA'!R"&amp;1&amp;"C"&amp;(MATCH(W6,'IG story data'!$A$1:$U$1,0)),FALSE):INDIRECT("'IG STORY DATA'!R"&amp;30&amp;"C"&amp;(MATCH(W6,'IG story data'!$A$1:$U$1,0)),FALSE))</f>
        <v>60</v>
      </c>
    </row>
    <row r="7" spans="1:24" ht="17.45" customHeight="1" thickBot="1">
      <c r="A7" s="209">
        <v>4</v>
      </c>
      <c r="B7" s="195">
        <f>IFERROR(INDEX('IG 콘텐츠 data'!R:R,MATCH('IG 신규발행'!A7,'IG 콘텐츠 data'!S:S,0)),"")</f>
        <v>45516</v>
      </c>
      <c r="C7" s="197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이미지</v>
      </c>
      <c r="D7" s="197" t="str">
        <f>IFERROR(INDEX('IG 콘텐츠 data'!$A$1:$AJ$25,MATCH('IG 신규발행'!$A7,'IG 콘텐츠 data'!$S:$S,0),MATCH(D$3,'IG 콘텐츠 data'!$A$1:$Q$1,0)),"")</f>
        <v>이노드림(장 피아제)</v>
      </c>
      <c r="E7" s="197">
        <f>IFERROR(INDEX('IG 콘텐츠 data'!$A$1:$AJ$25,MATCH('IG 신규발행'!$A7,'IG 콘텐츠 data'!$S:$S,0),MATCH(E$3,'IG 콘텐츠 data'!$A$1:$Q$1,0)),"")</f>
        <v>5313</v>
      </c>
      <c r="F7" s="197">
        <f>IFERROR(INDEX('IG 콘텐츠 data'!$A$1:$AJ$25,MATCH('IG 신규발행'!$A7,'IG 콘텐츠 data'!$S:$S,0),MATCH(F$3,'IG 콘텐츠 data'!$A$1:$Q$1,0)),"")</f>
        <v>3618</v>
      </c>
      <c r="G7" s="197">
        <f>IFERROR(INDEX('IG 콘텐츠 data'!$A$1:$AJ$25,MATCH('IG 신규발행'!$A7,'IG 콘텐츠 data'!$S:$S,0),MATCH(G$3,'IG 콘텐츠 data'!$A$1:$Q$1,0)),"")</f>
        <v>5</v>
      </c>
      <c r="H7" s="197">
        <f>IFERROR(INDEX('IG 콘텐츠 data'!$A$1:$AJ$25,MATCH('IG 신규발행'!$A7,'IG 콘텐츠 data'!$S:$S,0),MATCH(H$3,'IG 콘텐츠 data'!$A$1:$Q$1,0)),"")</f>
        <v>4</v>
      </c>
      <c r="I7" s="197">
        <f>IFERROR(INDEX('IG 콘텐츠 data'!$A$1:$AJ$25,MATCH('IG 신규발행'!$A7,'IG 콘텐츠 data'!$S:$S,0),MATCH(I$3,'IG 콘텐츠 data'!$A$1:$Q$1,0)),"")</f>
        <v>1</v>
      </c>
      <c r="J7" s="197" t="str">
        <f>IFERROR(INDEX('IG 콘텐츠 data'!$A$1:$AJ$25,MATCH('IG 신규발행'!$A7,'IG 콘텐츠 data'!$S:$S,0),MATCH(J$3,'IG 콘텐츠 data'!$A$1:$Q$1,0)),"")</f>
        <v>-</v>
      </c>
      <c r="K7" s="210" t="str">
        <f>IFERROR(INDEX('IG 콘텐츠 data'!$A$1:$AJ$25,MATCH('IG 신규발행'!$A7,'IG 콘텐츠 data'!$S:$S,0),MATCH(K$3,'IG 콘텐츠 data'!$A$1:$Q$1,0)),"")</f>
        <v>-</v>
      </c>
      <c r="L7" s="197">
        <f>IFERROR(INDEX('IG 콘텐츠 data'!$A$1:$AJ$25,MATCH('IG 신규발행'!$A7,'IG 콘텐츠 data'!$S:$S,0),MATCH(L$3,'IG 콘텐츠 data'!$A$1:$Q$1,0)),"")</f>
        <v>929</v>
      </c>
      <c r="M7" s="197">
        <f>IFERROR(INDEX('IG 콘텐츠 data'!$A$1:$AJ$25,MATCH('IG 신규발행'!$A7,'IG 콘텐츠 data'!$S:$S,0),MATCH(M$3,'IG 콘텐츠 data'!$A$1:$Q$1,0)),"")</f>
        <v>2</v>
      </c>
      <c r="N7" s="197">
        <f>IFERROR(INDEX('IG 콘텐츠 data'!$A$1:$AJ$25,MATCH('IG 신규발행'!$A7,'IG 콘텐츠 data'!$S:$S,0),MATCH(N$3,'IG 콘텐츠 data'!$A$1:$Q$1,0)),"")</f>
        <v>22</v>
      </c>
      <c r="O7" s="197">
        <f t="shared" si="0"/>
        <v>958</v>
      </c>
      <c r="P7" s="198">
        <f t="shared" si="1"/>
        <v>0.26478717523493644</v>
      </c>
      <c r="R7" s="137">
        <f t="shared" si="2"/>
        <v>8</v>
      </c>
      <c r="S7" s="137" t="e">
        <f t="shared" si="3"/>
        <v>#VALUE!</v>
      </c>
      <c r="W7" s="189" t="s">
        <v>118</v>
      </c>
      <c r="X7" s="190">
        <f ca="1">SUM(INDIRECT("'IG STORY DATA'!R"&amp;1&amp;"C"&amp;(MATCH(W7,'IG story data'!$A$1:$U$1,0)),FALSE):INDIRECT("'IG STORY DATA'!R"&amp;30&amp;"C"&amp;(MATCH(W7,'IG story data'!$A$1:$U$1,0)),FALSE))</f>
        <v>23</v>
      </c>
    </row>
    <row r="8" spans="1:24" ht="17.45" customHeight="1">
      <c r="A8" s="209">
        <v>5</v>
      </c>
      <c r="B8" s="195">
        <f>IFERROR(INDEX('IG 콘텐츠 data'!R:R,MATCH('IG 신규발행'!A8,'IG 콘텐츠 data'!S:S,0)),"")</f>
        <v>45509</v>
      </c>
      <c r="C8" s="197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197" t="str">
        <f>IFERROR(INDEX('IG 콘텐츠 data'!$A$1:$AJ$25,MATCH('IG 신규발행'!$A8,'IG 콘텐츠 data'!$S:$S,0),MATCH(D$3,'IG 콘텐츠 data'!$A$1:$Q$1,0)),"")</f>
        <v>이노드림(게오르크 빌헬름 프리드리히 헤겔)</v>
      </c>
      <c r="E8" s="197">
        <f>IFERROR(INDEX('IG 콘텐츠 data'!$A$1:$AJ$25,MATCH('IG 신규발행'!$A8,'IG 콘텐츠 data'!$S:$S,0),MATCH(E$3,'IG 콘텐츠 data'!$A$1:$Q$1,0)),"")</f>
        <v>7452</v>
      </c>
      <c r="F8" s="197">
        <f>IFERROR(INDEX('IG 콘텐츠 data'!$A$1:$AJ$25,MATCH('IG 신규발행'!$A8,'IG 콘텐츠 data'!$S:$S,0),MATCH(F$3,'IG 콘텐츠 data'!$A$1:$Q$1,0)),"")</f>
        <v>5320</v>
      </c>
      <c r="G8" s="197">
        <f>IFERROR(INDEX('IG 콘텐츠 data'!$A$1:$AJ$25,MATCH('IG 신규발행'!$A8,'IG 콘텐츠 data'!$S:$S,0),MATCH(G$3,'IG 콘텐츠 data'!$A$1:$Q$1,0)),"")</f>
        <v>6</v>
      </c>
      <c r="H8" s="197">
        <f>IFERROR(INDEX('IG 콘텐츠 data'!$A$1:$AJ$25,MATCH('IG 신규발행'!$A8,'IG 콘텐츠 data'!$S:$S,0),MATCH(H$3,'IG 콘텐츠 data'!$A$1:$Q$1,0)),"")</f>
        <v>3</v>
      </c>
      <c r="I8" s="197">
        <f>IFERROR(INDEX('IG 콘텐츠 data'!$A$1:$AJ$25,MATCH('IG 신규발행'!$A8,'IG 콘텐츠 data'!$S:$S,0),MATCH(I$3,'IG 콘텐츠 data'!$A$1:$Q$1,0)),"")</f>
        <v>1</v>
      </c>
      <c r="J8" s="197" t="str">
        <f>IFERROR(INDEX('IG 콘텐츠 data'!$A$1:$AJ$25,MATCH('IG 신규발행'!$A8,'IG 콘텐츠 data'!$S:$S,0),MATCH(J$3,'IG 콘텐츠 data'!$A$1:$Q$1,0)),"")</f>
        <v>-</v>
      </c>
      <c r="K8" s="210" t="str">
        <f>IFERROR(INDEX('IG 콘텐츠 data'!$A$1:$AJ$25,MATCH('IG 신규발행'!$A8,'IG 콘텐츠 data'!$S:$S,0),MATCH(K$3,'IG 콘텐츠 data'!$A$1:$Q$1,0)),"")</f>
        <v>-</v>
      </c>
      <c r="L8" s="197">
        <f>IFERROR(INDEX('IG 콘텐츠 data'!$A$1:$AJ$25,MATCH('IG 신규발행'!$A8,'IG 콘텐츠 data'!$S:$S,0),MATCH(L$3,'IG 콘텐츠 data'!$A$1:$Q$1,0)),"")</f>
        <v>1245</v>
      </c>
      <c r="M8" s="197">
        <f>IFERROR(INDEX('IG 콘텐츠 data'!$A$1:$AJ$25,MATCH('IG 신규발행'!$A8,'IG 콘텐츠 data'!$S:$S,0),MATCH(M$3,'IG 콘텐츠 data'!$A$1:$Q$1,0)),"")</f>
        <v>4</v>
      </c>
      <c r="N8" s="197">
        <f>IFERROR(INDEX('IG 콘텐츠 data'!$A$1:$AJ$25,MATCH('IG 신규발행'!$A8,'IG 콘텐츠 data'!$S:$S,0),MATCH(N$3,'IG 콘텐츠 data'!$A$1:$Q$1,0)),"")</f>
        <v>37</v>
      </c>
      <c r="O8" s="197">
        <f t="shared" si="0"/>
        <v>1292</v>
      </c>
      <c r="P8" s="198">
        <f t="shared" si="1"/>
        <v>0.24285714285714285</v>
      </c>
      <c r="R8" s="137">
        <f t="shared" si="2"/>
        <v>6</v>
      </c>
      <c r="S8" s="137" t="e">
        <f t="shared" si="3"/>
        <v>#VALUE!</v>
      </c>
      <c r="W8" s="152"/>
    </row>
    <row r="9" spans="1:24" ht="17.45" customHeight="1">
      <c r="A9" s="209">
        <v>6</v>
      </c>
      <c r="B9" s="195">
        <f>IFERROR(INDEX('IG 콘텐츠 data'!R:R,MATCH('IG 신규발행'!A9,'IG 콘텐츠 data'!S:S,0)),"")</f>
        <v>45519</v>
      </c>
      <c r="C9" s="197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이미지</v>
      </c>
      <c r="D9" s="197" t="str">
        <f>IFERROR(INDEX('IG 콘텐츠 data'!$A$1:$AJ$25,MATCH('IG 신규발행'!$A9,'IG 콘텐츠 data'!$S:$S,0),MATCH(D$3,'IG 콘텐츠 data'!$A$1:$Q$1,0)),"")</f>
        <v>광복절 기념 콘텐츠</v>
      </c>
      <c r="E9" s="197">
        <f>IFERROR(INDEX('IG 콘텐츠 data'!$A$1:$AJ$25,MATCH('IG 신규발행'!$A9,'IG 콘텐츠 data'!$S:$S,0),MATCH(E$3,'IG 콘텐츠 data'!$A$1:$Q$1,0)),"")</f>
        <v>23067</v>
      </c>
      <c r="F9" s="197">
        <f>IFERROR(INDEX('IG 콘텐츠 data'!$A$1:$AJ$25,MATCH('IG 신규발행'!$A9,'IG 콘텐츠 data'!$S:$S,0),MATCH(F$3,'IG 콘텐츠 data'!$A$1:$Q$1,0)),"")</f>
        <v>23067</v>
      </c>
      <c r="G9" s="197">
        <f>IFERROR(INDEX('IG 콘텐츠 data'!$A$1:$AJ$25,MATCH('IG 신규발행'!$A9,'IG 콘텐츠 data'!$S:$S,0),MATCH(G$3,'IG 콘텐츠 data'!$A$1:$Q$1,0)),"")</f>
        <v>14</v>
      </c>
      <c r="H9" s="197">
        <f>IFERROR(INDEX('IG 콘텐츠 data'!$A$1:$AJ$25,MATCH('IG 신규발행'!$A9,'IG 콘텐츠 data'!$S:$S,0),MATCH(H$3,'IG 콘텐츠 data'!$A$1:$Q$1,0)),"")</f>
        <v>48</v>
      </c>
      <c r="I9" s="197">
        <f>IFERROR(INDEX('IG 콘텐츠 data'!$A$1:$AJ$25,MATCH('IG 신규발행'!$A9,'IG 콘텐츠 data'!$S:$S,0),MATCH(I$3,'IG 콘텐츠 data'!$A$1:$Q$1,0)),"")</f>
        <v>9</v>
      </c>
      <c r="J9" s="197" t="str">
        <f>IFERROR(INDEX('IG 콘텐츠 data'!$A$1:$AJ$25,MATCH('IG 신규발행'!$A9,'IG 콘텐츠 data'!$S:$S,0),MATCH(J$3,'IG 콘텐츠 data'!$A$1:$Q$1,0)),"")</f>
        <v>-</v>
      </c>
      <c r="K9" s="210" t="str">
        <f>IFERROR(INDEX('IG 콘텐츠 data'!$A$1:$AJ$25,MATCH('IG 신규발행'!$A9,'IG 콘텐츠 data'!$S:$S,0),MATCH(K$3,'IG 콘텐츠 data'!$A$1:$Q$1,0)),"")</f>
        <v>-</v>
      </c>
      <c r="L9" s="197">
        <f>IFERROR(INDEX('IG 콘텐츠 data'!$A$1:$AJ$25,MATCH('IG 신규발행'!$A9,'IG 콘텐츠 data'!$S:$S,0),MATCH(L$3,'IG 콘텐츠 data'!$A$1:$Q$1,0)),"")</f>
        <v>3335</v>
      </c>
      <c r="M9" s="197">
        <f>IFERROR(INDEX('IG 콘텐츠 data'!$A$1:$AJ$25,MATCH('IG 신규발행'!$A9,'IG 콘텐츠 data'!$S:$S,0),MATCH(M$3,'IG 콘텐츠 data'!$A$1:$Q$1,0)),"")</f>
        <v>11</v>
      </c>
      <c r="N9" s="197">
        <f>IFERROR(INDEX('IG 콘텐츠 data'!$A$1:$AJ$25,MATCH('IG 신규발행'!$A9,'IG 콘텐츠 data'!$S:$S,0),MATCH(N$3,'IG 콘텐츠 data'!$A$1:$Q$1,0)),"")</f>
        <v>54</v>
      </c>
      <c r="O9" s="197">
        <f t="shared" si="0"/>
        <v>3414</v>
      </c>
      <c r="P9" s="198">
        <f t="shared" si="1"/>
        <v>0.14800364156587331</v>
      </c>
      <c r="R9" s="137">
        <f t="shared" si="2"/>
        <v>3</v>
      </c>
      <c r="S9" s="137" t="e">
        <f t="shared" si="3"/>
        <v>#VALUE!</v>
      </c>
      <c r="W9" s="152"/>
    </row>
    <row r="10" spans="1:24" ht="17.45" customHeight="1">
      <c r="A10" s="209">
        <v>7</v>
      </c>
      <c r="B10" s="195">
        <f>IFERROR(INDEX('IG 콘텐츠 data'!R:R,MATCH('IG 신규발행'!A10,'IG 콘텐츠 data'!S:S,0)),"")</f>
        <v>45511</v>
      </c>
      <c r="C10" s="197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영상</v>
      </c>
      <c r="D10" s="197" t="str">
        <f>IFERROR(INDEX('IG 콘텐츠 data'!$A$1:$AJ$25,MATCH('IG 신규발행'!$A10,'IG 콘텐츠 data'!$S:$S,0),MATCH(D$3,'IG 콘텐츠 data'!$A$1:$Q$1,0)),"")</f>
        <v>이야기를 걷다 Ep. 시장</v>
      </c>
      <c r="E10" s="197">
        <f>IFERROR(INDEX('IG 콘텐츠 data'!$A$1:$AJ$25,MATCH('IG 신규발행'!$A10,'IG 콘텐츠 data'!$S:$S,0),MATCH(E$3,'IG 콘텐츠 data'!$A$1:$Q$1,0)),"")</f>
        <v>16342</v>
      </c>
      <c r="F10" s="197">
        <f>IFERROR(INDEX('IG 콘텐츠 data'!$A$1:$AJ$25,MATCH('IG 신규발행'!$A10,'IG 콘텐츠 data'!$S:$S,0),MATCH(F$3,'IG 콘텐츠 data'!$A$1:$Q$1,0)),"")</f>
        <v>11366</v>
      </c>
      <c r="G10" s="197">
        <f>IFERROR(INDEX('IG 콘텐츠 data'!$A$1:$AJ$25,MATCH('IG 신규발행'!$A10,'IG 콘텐츠 data'!$S:$S,0),MATCH(G$3,'IG 콘텐츠 data'!$A$1:$Q$1,0)),"")</f>
        <v>1</v>
      </c>
      <c r="H10" s="197" t="str">
        <f>IFERROR(INDEX('IG 콘텐츠 data'!$A$1:$AJ$25,MATCH('IG 신규발행'!$A10,'IG 콘텐츠 data'!$S:$S,0),MATCH(H$3,'IG 콘텐츠 data'!$A$1:$Q$1,0)),"")</f>
        <v>-</v>
      </c>
      <c r="I10" s="197">
        <f>IFERROR(INDEX('IG 콘텐츠 data'!$A$1:$AJ$25,MATCH('IG 신규발행'!$A10,'IG 콘텐츠 data'!$S:$S,0),MATCH(I$3,'IG 콘텐츠 data'!$A$1:$Q$1,0)),"")</f>
        <v>1</v>
      </c>
      <c r="J10" s="197">
        <f>IFERROR(INDEX('IG 콘텐츠 data'!$A$1:$AJ$25,MATCH('IG 신규발행'!$A10,'IG 콘텐츠 data'!$S:$S,0),MATCH(J$3,'IG 콘텐츠 data'!$A$1:$Q$1,0)),"")</f>
        <v>16305</v>
      </c>
      <c r="K10" s="210" t="str">
        <f>IFERROR(INDEX('IG 콘텐츠 data'!$A$1:$AJ$25,MATCH('IG 신규발행'!$A10,'IG 콘텐츠 data'!$S:$S,0),MATCH(K$3,'IG 콘텐츠 data'!$A$1:$Q$1,0)),"")</f>
        <v>4초</v>
      </c>
      <c r="L10" s="197">
        <f>IFERROR(INDEX('IG 콘텐츠 data'!$A$1:$AJ$25,MATCH('IG 신규발행'!$A10,'IG 콘텐츠 data'!$S:$S,0),MATCH(L$3,'IG 콘텐츠 data'!$A$1:$Q$1,0)),"")</f>
        <v>816</v>
      </c>
      <c r="M10" s="197">
        <f>IFERROR(INDEX('IG 콘텐츠 data'!$A$1:$AJ$25,MATCH('IG 신규발행'!$A10,'IG 콘텐츠 data'!$S:$S,0),MATCH(M$3,'IG 콘텐츠 data'!$A$1:$Q$1,0)),"")</f>
        <v>2</v>
      </c>
      <c r="N10" s="197">
        <f>IFERROR(INDEX('IG 콘텐츠 data'!$A$1:$AJ$25,MATCH('IG 신규발행'!$A10,'IG 콘텐츠 data'!$S:$S,0),MATCH(N$3,'IG 콘텐츠 data'!$A$1:$Q$1,0)),"")</f>
        <v>6</v>
      </c>
      <c r="O10" s="197">
        <f t="shared" si="0"/>
        <v>825</v>
      </c>
      <c r="P10" s="198">
        <f t="shared" si="1"/>
        <v>7.2584902340313215E-2</v>
      </c>
      <c r="R10" s="137">
        <f t="shared" si="2"/>
        <v>11</v>
      </c>
      <c r="S10" s="137">
        <f t="shared" si="3"/>
        <v>3</v>
      </c>
      <c r="W10" s="152"/>
    </row>
    <row r="11" spans="1:24" ht="17.45" customHeight="1">
      <c r="A11" s="209">
        <v>8</v>
      </c>
      <c r="B11" s="195">
        <f>IFERROR(INDEX('IG 콘텐츠 data'!R:R,MATCH('IG 신규발행'!A11,'IG 콘텐츠 data'!S:S,0)),"")</f>
        <v>45510</v>
      </c>
      <c r="C11" s="197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이미지</v>
      </c>
      <c r="D11" s="197" t="str">
        <f>IFERROR(INDEX('IG 콘텐츠 data'!$A$1:$AJ$25,MATCH('IG 신규발행'!$A11,'IG 콘텐츠 data'!$S:$S,0),MATCH(D$3,'IG 콘텐츠 data'!$A$1:$Q$1,0)),"")</f>
        <v>이노 백과사전 - SAF</v>
      </c>
      <c r="E11" s="197">
        <f>IFERROR(INDEX('IG 콘텐츠 data'!$A$1:$AJ$25,MATCH('IG 신규발행'!$A11,'IG 콘텐츠 data'!$S:$S,0),MATCH(E$3,'IG 콘텐츠 data'!$A$1:$Q$1,0)),"")</f>
        <v>30968</v>
      </c>
      <c r="F11" s="197">
        <f>IFERROR(INDEX('IG 콘텐츠 data'!$A$1:$AJ$25,MATCH('IG 신규발행'!$A11,'IG 콘텐츠 data'!$S:$S,0),MATCH(F$3,'IG 콘텐츠 data'!$A$1:$Q$1,0)),"")</f>
        <v>21506</v>
      </c>
      <c r="G11" s="197">
        <f>IFERROR(INDEX('IG 콘텐츠 data'!$A$1:$AJ$25,MATCH('IG 신규발행'!$A11,'IG 콘텐츠 data'!$S:$S,0),MATCH(G$3,'IG 콘텐츠 data'!$A$1:$Q$1,0)),"")</f>
        <v>2</v>
      </c>
      <c r="H11" s="197">
        <f>IFERROR(INDEX('IG 콘텐츠 data'!$A$1:$AJ$25,MATCH('IG 신규발행'!$A11,'IG 콘텐츠 data'!$S:$S,0),MATCH(H$3,'IG 콘텐츠 data'!$A$1:$Q$1,0)),"")</f>
        <v>326</v>
      </c>
      <c r="I11" s="197">
        <f>IFERROR(INDEX('IG 콘텐츠 data'!$A$1:$AJ$25,MATCH('IG 신규발행'!$A11,'IG 콘텐츠 data'!$S:$S,0),MATCH(I$3,'IG 콘텐츠 data'!$A$1:$Q$1,0)),"")</f>
        <v>27</v>
      </c>
      <c r="J11" s="197" t="str">
        <f>IFERROR(INDEX('IG 콘텐츠 data'!$A$1:$AJ$25,MATCH('IG 신규발행'!$A11,'IG 콘텐츠 data'!$S:$S,0),MATCH(J$3,'IG 콘텐츠 data'!$A$1:$Q$1,0)),"")</f>
        <v>-</v>
      </c>
      <c r="K11" s="210" t="str">
        <f>IFERROR(INDEX('IG 콘텐츠 data'!$A$1:$AJ$25,MATCH('IG 신규발행'!$A11,'IG 콘텐츠 data'!$S:$S,0),MATCH(K$3,'IG 콘텐츠 data'!$A$1:$Q$1,0)),"")</f>
        <v>-</v>
      </c>
      <c r="L11" s="197">
        <f>IFERROR(INDEX('IG 콘텐츠 data'!$A$1:$AJ$25,MATCH('IG 신규발행'!$A11,'IG 콘텐츠 data'!$S:$S,0),MATCH(L$3,'IG 콘텐츠 data'!$A$1:$Q$1,0)),"")</f>
        <v>1375</v>
      </c>
      <c r="M11" s="197">
        <f>IFERROR(INDEX('IG 콘텐츠 data'!$A$1:$AJ$25,MATCH('IG 신규발행'!$A11,'IG 콘텐츠 data'!$S:$S,0),MATCH(M$3,'IG 콘텐츠 data'!$A$1:$Q$1,0)),"")</f>
        <v>8</v>
      </c>
      <c r="N11" s="197">
        <f>IFERROR(INDEX('IG 콘텐츠 data'!$A$1:$AJ$25,MATCH('IG 신규발행'!$A11,'IG 콘텐츠 data'!$S:$S,0),MATCH(N$3,'IG 콘텐츠 data'!$A$1:$Q$1,0)),"")</f>
        <v>46</v>
      </c>
      <c r="O11" s="197">
        <f t="shared" si="0"/>
        <v>1431</v>
      </c>
      <c r="P11" s="198">
        <f t="shared" si="1"/>
        <v>6.6539570352459776E-2</v>
      </c>
      <c r="R11" s="137">
        <f t="shared" si="2"/>
        <v>4</v>
      </c>
      <c r="S11" s="137" t="e">
        <f t="shared" si="3"/>
        <v>#VALUE!</v>
      </c>
      <c r="W11" s="152"/>
    </row>
    <row r="12" spans="1:24" ht="17.45" customHeight="1">
      <c r="A12" s="209">
        <v>9</v>
      </c>
      <c r="B12" s="195">
        <f>IFERROR(INDEX('IG 콘텐츠 data'!R:R,MATCH('IG 신규발행'!A12,'IG 콘텐츠 data'!S:S,0)),"")</f>
        <v>45533</v>
      </c>
      <c r="C12" s="197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슬라이드</v>
      </c>
      <c r="D12" s="197" t="str">
        <f>IFERROR(INDEX('IG 콘텐츠 data'!$A$1:$AJ$25,MATCH('IG 신규발행'!$A12,'IG 콘텐츠 data'!$S:$S,0),MATCH(D$3,'IG 콘텐츠 data'!$A$1:$Q$1,0)),"")</f>
        <v>행복 Dream 도서관 (세이브더칠드런 게시물 리그램)</v>
      </c>
      <c r="E12" s="197">
        <f>IFERROR(INDEX('IG 콘텐츠 data'!$A$1:$AJ$25,MATCH('IG 신규발행'!$A12,'IG 콘텐츠 data'!$S:$S,0),MATCH(E$3,'IG 콘텐츠 data'!$A$1:$Q$1,0)),"")</f>
        <v>752</v>
      </c>
      <c r="F12" s="197">
        <f>IFERROR(INDEX('IG 콘텐츠 data'!$A$1:$AJ$25,MATCH('IG 신규발행'!$A12,'IG 콘텐츠 data'!$S:$S,0),MATCH(F$3,'IG 콘텐츠 data'!$A$1:$Q$1,0)),"")</f>
        <v>600</v>
      </c>
      <c r="G12" s="197">
        <f>IFERROR(INDEX('IG 콘텐츠 data'!$A$1:$AJ$25,MATCH('IG 신규발행'!$A12,'IG 콘텐츠 data'!$S:$S,0),MATCH(G$3,'IG 콘텐츠 data'!$A$1:$Q$1,0)),"")</f>
        <v>0</v>
      </c>
      <c r="H12" s="197">
        <f>IFERROR(INDEX('IG 콘텐츠 data'!$A$1:$AJ$25,MATCH('IG 신규발행'!$A12,'IG 콘텐츠 data'!$S:$S,0),MATCH(H$3,'IG 콘텐츠 data'!$A$1:$Q$1,0)),"")</f>
        <v>10</v>
      </c>
      <c r="I12" s="197">
        <f>IFERROR(INDEX('IG 콘텐츠 data'!$A$1:$AJ$25,MATCH('IG 신규발행'!$A12,'IG 콘텐츠 data'!$S:$S,0),MATCH(I$3,'IG 콘텐츠 data'!$A$1:$Q$1,0)),"")</f>
        <v>0</v>
      </c>
      <c r="J12" s="197" t="str">
        <f>IFERROR(INDEX('IG 콘텐츠 data'!$A$1:$AJ$25,MATCH('IG 신규발행'!$A12,'IG 콘텐츠 data'!$S:$S,0),MATCH(J$3,'IG 콘텐츠 data'!$A$1:$Q$1,0)),"")</f>
        <v>-</v>
      </c>
      <c r="K12" s="210" t="str">
        <f>IFERROR(INDEX('IG 콘텐츠 data'!$A$1:$AJ$25,MATCH('IG 신규발행'!$A12,'IG 콘텐츠 data'!$S:$S,0),MATCH(K$3,'IG 콘텐츠 data'!$A$1:$Q$1,0)),"")</f>
        <v>-</v>
      </c>
      <c r="L12" s="197">
        <f>IFERROR(INDEX('IG 콘텐츠 data'!$A$1:$AJ$25,MATCH('IG 신규발행'!$A12,'IG 콘텐츠 data'!$S:$S,0),MATCH(L$3,'IG 콘텐츠 data'!$A$1:$Q$1,0)),"")</f>
        <v>34</v>
      </c>
      <c r="M12" s="197">
        <f>IFERROR(INDEX('IG 콘텐츠 data'!$A$1:$AJ$25,MATCH('IG 신규발행'!$A12,'IG 콘텐츠 data'!$S:$S,0),MATCH(M$3,'IG 콘텐츠 data'!$A$1:$Q$1,0)),"")</f>
        <v>1</v>
      </c>
      <c r="N12" s="197">
        <f>IFERROR(INDEX('IG 콘텐츠 data'!$A$1:$AJ$25,MATCH('IG 신규발행'!$A12,'IG 콘텐츠 data'!$S:$S,0),MATCH(N$3,'IG 콘텐츠 data'!$A$1:$Q$1,0)),"")</f>
        <v>1</v>
      </c>
      <c r="O12" s="197">
        <f t="shared" si="0"/>
        <v>36</v>
      </c>
      <c r="P12" s="198">
        <f t="shared" si="1"/>
        <v>0.06</v>
      </c>
      <c r="R12" s="137">
        <f t="shared" si="2"/>
        <v>13</v>
      </c>
      <c r="S12" s="137" t="e">
        <f t="shared" si="3"/>
        <v>#VALUE!</v>
      </c>
      <c r="W12" s="152"/>
    </row>
    <row r="13" spans="1:24" ht="17.45" customHeight="1">
      <c r="A13" s="209">
        <v>10</v>
      </c>
      <c r="B13" s="195">
        <f>IFERROR(INDEX('IG 콘텐츠 data'!R:R,MATCH('IG 신규발행'!A13,'IG 콘텐츠 data'!S:S,0)),"")</f>
        <v>45506</v>
      </c>
      <c r="C13" s="197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>슬라이드</v>
      </c>
      <c r="D13" s="197" t="str">
        <f>IFERROR(INDEX('IG 콘텐츠 data'!$A$1:$AJ$25,MATCH('IG 신규발행'!$A13,'IG 콘텐츠 data'!$S:$S,0),MATCH(D$3,'IG 콘텐츠 data'!$A$1:$Q$1,0)),"")</f>
        <v>데일리 슼슼 - 우산</v>
      </c>
      <c r="E13" s="197">
        <f>IFERROR(INDEX('IG 콘텐츠 data'!$A$1:$AJ$25,MATCH('IG 신규발행'!$A13,'IG 콘텐츠 data'!$S:$S,0),MATCH(E$3,'IG 콘텐츠 data'!$A$1:$Q$1,0)),"")</f>
        <v>28663</v>
      </c>
      <c r="F13" s="197">
        <f>IFERROR(INDEX('IG 콘텐츠 data'!$A$1:$AJ$25,MATCH('IG 신규발행'!$A13,'IG 콘텐츠 data'!$S:$S,0),MATCH(F$3,'IG 콘텐츠 data'!$A$1:$Q$1,0)),"")</f>
        <v>17354</v>
      </c>
      <c r="G13" s="197">
        <f>IFERROR(INDEX('IG 콘텐츠 data'!$A$1:$AJ$25,MATCH('IG 신규발행'!$A13,'IG 콘텐츠 data'!$S:$S,0),MATCH(G$3,'IG 콘텐츠 data'!$A$1:$Q$1,0)),"")</f>
        <v>1</v>
      </c>
      <c r="H13" s="197">
        <f>IFERROR(INDEX('IG 콘텐츠 data'!$A$1:$AJ$25,MATCH('IG 신규발행'!$A13,'IG 콘텐츠 data'!$S:$S,0),MATCH(H$3,'IG 콘텐츠 data'!$A$1:$Q$1,0)),"")</f>
        <v>431</v>
      </c>
      <c r="I13" s="197">
        <f>IFERROR(INDEX('IG 콘텐츠 data'!$A$1:$AJ$25,MATCH('IG 신규발행'!$A13,'IG 콘텐츠 data'!$S:$S,0),MATCH(I$3,'IG 콘텐츠 data'!$A$1:$Q$1,0)),"")</f>
        <v>57</v>
      </c>
      <c r="J13" s="197" t="str">
        <f>IFERROR(INDEX('IG 콘텐츠 data'!$A$1:$AJ$25,MATCH('IG 신규발행'!$A13,'IG 콘텐츠 data'!$S:$S,0),MATCH(J$3,'IG 콘텐츠 data'!$A$1:$Q$1,0)),"")</f>
        <v>-</v>
      </c>
      <c r="K13" s="210" t="str">
        <f>IFERROR(INDEX('IG 콘텐츠 data'!$A$1:$AJ$25,MATCH('IG 신규발행'!$A13,'IG 콘텐츠 data'!$S:$S,0),MATCH(K$3,'IG 콘텐츠 data'!$A$1:$Q$1,0)),"")</f>
        <v>-</v>
      </c>
      <c r="L13" s="197">
        <f>IFERROR(INDEX('IG 콘텐츠 data'!$A$1:$AJ$25,MATCH('IG 신규발행'!$A13,'IG 콘텐츠 data'!$S:$S,0),MATCH(L$3,'IG 콘텐츠 data'!$A$1:$Q$1,0)),"")</f>
        <v>137</v>
      </c>
      <c r="M13" s="197">
        <f>IFERROR(INDEX('IG 콘텐츠 data'!$A$1:$AJ$25,MATCH('IG 신규발행'!$A13,'IG 콘텐츠 data'!$S:$S,0),MATCH(M$3,'IG 콘텐츠 data'!$A$1:$Q$1,0)),"")</f>
        <v>2</v>
      </c>
      <c r="N13" s="197">
        <f>IFERROR(INDEX('IG 콘텐츠 data'!$A$1:$AJ$25,MATCH('IG 신규발행'!$A13,'IG 콘텐츠 data'!$S:$S,0),MATCH(N$3,'IG 콘텐츠 data'!$A$1:$Q$1,0)),"")</f>
        <v>125</v>
      </c>
      <c r="O13" s="197">
        <f t="shared" si="0"/>
        <v>265</v>
      </c>
      <c r="P13" s="198">
        <f t="shared" si="1"/>
        <v>1.5270254696323614E-2</v>
      </c>
      <c r="R13" s="137">
        <f t="shared" si="2"/>
        <v>1</v>
      </c>
      <c r="S13" s="137" t="e">
        <f t="shared" si="3"/>
        <v>#VALUE!</v>
      </c>
      <c r="W13" s="152"/>
    </row>
    <row r="14" spans="1:24" ht="17.45" customHeight="1">
      <c r="A14" s="209">
        <v>11</v>
      </c>
      <c r="B14" s="195">
        <f>IFERROR(INDEX('IG 콘텐츠 data'!R:R,MATCH('IG 신규발행'!A14,'IG 콘텐츠 data'!S:S,0)),"")</f>
        <v>45517</v>
      </c>
      <c r="C14" s="197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>슬라이드</v>
      </c>
      <c r="D14" s="197" t="str">
        <f>IFERROR(INDEX('IG 콘텐츠 data'!$A$1:$AJ$25,MATCH('IG 신규발행'!$A14,'IG 콘텐츠 data'!$S:$S,0),MATCH(D$3,'IG 콘텐츠 data'!$A$1:$Q$1,0)),"")</f>
        <v>데일리 슼슼 - 캐리어</v>
      </c>
      <c r="E14" s="197">
        <f>IFERROR(INDEX('IG 콘텐츠 data'!$A$1:$AJ$25,MATCH('IG 신규발행'!$A14,'IG 콘텐츠 data'!$S:$S,0),MATCH(E$3,'IG 콘텐츠 data'!$A$1:$Q$1,0)),"")</f>
        <v>26051</v>
      </c>
      <c r="F14" s="197">
        <f>IFERROR(INDEX('IG 콘텐츠 data'!$A$1:$AJ$25,MATCH('IG 신규발행'!$A14,'IG 콘텐츠 data'!$S:$S,0),MATCH(F$3,'IG 콘텐츠 data'!$A$1:$Q$1,0)),"")</f>
        <v>15619</v>
      </c>
      <c r="G14" s="197">
        <f>IFERROR(INDEX('IG 콘텐츠 data'!$A$1:$AJ$25,MATCH('IG 신규발행'!$A14,'IG 콘텐츠 data'!$S:$S,0),MATCH(G$3,'IG 콘텐츠 data'!$A$1:$Q$1,0)),"")</f>
        <v>0</v>
      </c>
      <c r="H14" s="197">
        <f>IFERROR(INDEX('IG 콘텐츠 data'!$A$1:$AJ$25,MATCH('IG 신규발행'!$A14,'IG 콘텐츠 data'!$S:$S,0),MATCH(H$3,'IG 콘텐츠 data'!$A$1:$Q$1,0)),"")</f>
        <v>414</v>
      </c>
      <c r="I14" s="197">
        <f>IFERROR(INDEX('IG 콘텐츠 data'!$A$1:$AJ$25,MATCH('IG 신규발행'!$A14,'IG 콘텐츠 data'!$S:$S,0),MATCH(I$3,'IG 콘텐츠 data'!$A$1:$Q$1,0)),"")</f>
        <v>40</v>
      </c>
      <c r="J14" s="197" t="str">
        <f>IFERROR(INDEX('IG 콘텐츠 data'!$A$1:$AJ$25,MATCH('IG 신규발행'!$A14,'IG 콘텐츠 data'!$S:$S,0),MATCH(J$3,'IG 콘텐츠 data'!$A$1:$Q$1,0)),"")</f>
        <v>-</v>
      </c>
      <c r="K14" s="210" t="str">
        <f>IFERROR(INDEX('IG 콘텐츠 data'!$A$1:$AJ$25,MATCH('IG 신규발행'!$A14,'IG 콘텐츠 data'!$S:$S,0),MATCH(K$3,'IG 콘텐츠 data'!$A$1:$Q$1,0)),"")</f>
        <v>-</v>
      </c>
      <c r="L14" s="197">
        <f>IFERROR(INDEX('IG 콘텐츠 data'!$A$1:$AJ$25,MATCH('IG 신규발행'!$A14,'IG 콘텐츠 data'!$S:$S,0),MATCH(L$3,'IG 콘텐츠 data'!$A$1:$Q$1,0)),"")</f>
        <v>164</v>
      </c>
      <c r="M14" s="197">
        <f>IFERROR(INDEX('IG 콘텐츠 data'!$A$1:$AJ$25,MATCH('IG 신규발행'!$A14,'IG 콘텐츠 data'!$S:$S,0),MATCH(M$3,'IG 콘텐츠 data'!$A$1:$Q$1,0)),"")</f>
        <v>0</v>
      </c>
      <c r="N14" s="197">
        <f>IFERROR(INDEX('IG 콘텐츠 data'!$A$1:$AJ$25,MATCH('IG 신규발행'!$A14,'IG 콘텐츠 data'!$S:$S,0),MATCH(N$3,'IG 콘텐츠 data'!$A$1:$Q$1,0)),"")</f>
        <v>27</v>
      </c>
      <c r="O14" s="197">
        <f t="shared" si="0"/>
        <v>191</v>
      </c>
      <c r="P14" s="198">
        <f t="shared" si="1"/>
        <v>1.2228695819194571E-2</v>
      </c>
      <c r="R14" s="137">
        <f t="shared" si="2"/>
        <v>7</v>
      </c>
      <c r="S14" s="137" t="e">
        <f t="shared" si="3"/>
        <v>#VALUE!</v>
      </c>
      <c r="W14" s="152"/>
    </row>
    <row r="15" spans="1:24" ht="17.45" customHeight="1">
      <c r="A15" s="209">
        <v>12</v>
      </c>
      <c r="B15" s="195">
        <f>IFERROR(INDEX('IG 콘텐츠 data'!R:R,MATCH('IG 신규발행'!A15,'IG 콘텐츠 data'!S:S,0)),"")</f>
        <v>45524</v>
      </c>
      <c r="C15" s="197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>영상</v>
      </c>
      <c r="D15" s="197" t="str">
        <f>IFERROR(INDEX('IG 콘텐츠 data'!$A$1:$AJ$25,MATCH('IG 신규발행'!$A15,'IG 콘텐츠 data'!$S:$S,0),MATCH(D$3,'IG 콘텐츠 data'!$A$1:$Q$1,0)),"")</f>
        <v>슼-떠나요 Ep. 헝가리</v>
      </c>
      <c r="E15" s="197">
        <f>IFERROR(INDEX('IG 콘텐츠 data'!$A$1:$AJ$25,MATCH('IG 신규발행'!$A15,'IG 콘텐츠 data'!$S:$S,0),MATCH(E$3,'IG 콘텐츠 data'!$A$1:$Q$1,0)),"")</f>
        <v>31867</v>
      </c>
      <c r="F15" s="197">
        <f>IFERROR(INDEX('IG 콘텐츠 data'!$A$1:$AJ$25,MATCH('IG 신규발행'!$A15,'IG 콘텐츠 data'!$S:$S,0),MATCH(F$3,'IG 콘텐츠 data'!$A$1:$Q$1,0)),"")</f>
        <v>21231</v>
      </c>
      <c r="G15" s="197">
        <f>IFERROR(INDEX('IG 콘텐츠 data'!$A$1:$AJ$25,MATCH('IG 신규발행'!$A15,'IG 콘텐츠 data'!$S:$S,0),MATCH(G$3,'IG 콘텐츠 data'!$A$1:$Q$1,0)),"")</f>
        <v>2</v>
      </c>
      <c r="H15" s="197" t="str">
        <f>IFERROR(INDEX('IG 콘텐츠 data'!$A$1:$AJ$25,MATCH('IG 신규발행'!$A15,'IG 콘텐츠 data'!$S:$S,0),MATCH(H$3,'IG 콘텐츠 data'!$A$1:$Q$1,0)),"")</f>
        <v>-</v>
      </c>
      <c r="I15" s="197">
        <f>IFERROR(INDEX('IG 콘텐츠 data'!$A$1:$AJ$25,MATCH('IG 신규발행'!$A15,'IG 콘텐츠 data'!$S:$S,0),MATCH(I$3,'IG 콘텐츠 data'!$A$1:$Q$1,0)),"")</f>
        <v>7</v>
      </c>
      <c r="J15" s="197">
        <f>IFERROR(INDEX('IG 콘텐츠 data'!$A$1:$AJ$25,MATCH('IG 신규발행'!$A15,'IG 콘텐츠 data'!$S:$S,0),MATCH(J$3,'IG 콘텐츠 data'!$A$1:$Q$1,0)),"")</f>
        <v>31428</v>
      </c>
      <c r="K15" s="210" t="str">
        <f>IFERROR(INDEX('IG 콘텐츠 data'!$A$1:$AJ$25,MATCH('IG 신규발행'!$A15,'IG 콘텐츠 data'!$S:$S,0),MATCH(K$3,'IG 콘텐츠 data'!$A$1:$Q$1,0)),"")</f>
        <v>6초</v>
      </c>
      <c r="L15" s="197">
        <f>IFERROR(INDEX('IG 콘텐츠 data'!$A$1:$AJ$25,MATCH('IG 신규발행'!$A15,'IG 콘텐츠 data'!$S:$S,0),MATCH(L$3,'IG 콘텐츠 data'!$A$1:$Q$1,0)),"")</f>
        <v>76</v>
      </c>
      <c r="M15" s="197">
        <f>IFERROR(INDEX('IG 콘텐츠 data'!$A$1:$AJ$25,MATCH('IG 신규발행'!$A15,'IG 콘텐츠 data'!$S:$S,0),MATCH(M$3,'IG 콘텐츠 data'!$A$1:$Q$1,0)),"")</f>
        <v>3</v>
      </c>
      <c r="N15" s="197">
        <f>IFERROR(INDEX('IG 콘텐츠 data'!$A$1:$AJ$25,MATCH('IG 신규발행'!$A15,'IG 콘텐츠 data'!$S:$S,0),MATCH(N$3,'IG 콘텐츠 data'!$A$1:$Q$1,0)),"")</f>
        <v>18</v>
      </c>
      <c r="O15" s="197">
        <f t="shared" si="0"/>
        <v>99</v>
      </c>
      <c r="P15" s="198">
        <f t="shared" si="1"/>
        <v>4.6629927935565915E-3</v>
      </c>
      <c r="R15" s="137">
        <f t="shared" si="2"/>
        <v>10</v>
      </c>
      <c r="S15" s="137">
        <f t="shared" si="3"/>
        <v>2</v>
      </c>
      <c r="W15" s="152"/>
    </row>
    <row r="16" spans="1:24" ht="17.45" customHeight="1">
      <c r="A16" s="209">
        <v>13</v>
      </c>
      <c r="B16" s="195">
        <f>IFERROR(INDEX('IG 콘텐츠 data'!R:R,MATCH('IG 신규발행'!A16,'IG 콘텐츠 data'!S:S,0)),"")</f>
        <v>45530</v>
      </c>
      <c r="C16" s="197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>영상</v>
      </c>
      <c r="D16" s="197" t="str">
        <f>IFERROR(INDEX('IG 콘텐츠 data'!$A$1:$AJ$25,MATCH('IG 신규발행'!$A16,'IG 콘텐츠 data'!$S:$S,0),MATCH(D$3,'IG 콘텐츠 data'!$A$1:$Q$1,0)),"")</f>
        <v>2024 울산포럼 홍보 영상</v>
      </c>
      <c r="E16" s="197">
        <f>IFERROR(INDEX('IG 콘텐츠 data'!$A$1:$AJ$25,MATCH('IG 신규발행'!$A16,'IG 콘텐츠 data'!$S:$S,0),MATCH(E$3,'IG 콘텐츠 data'!$A$1:$Q$1,0)),"")</f>
        <v>48976</v>
      </c>
      <c r="F16" s="197">
        <f>IFERROR(INDEX('IG 콘텐츠 data'!$A$1:$AJ$25,MATCH('IG 신규발행'!$A16,'IG 콘텐츠 data'!$S:$S,0),MATCH(F$3,'IG 콘텐츠 data'!$A$1:$Q$1,0)),"")</f>
        <v>34317</v>
      </c>
      <c r="G16" s="197">
        <f>IFERROR(INDEX('IG 콘텐츠 data'!$A$1:$AJ$25,MATCH('IG 신규발행'!$A16,'IG 콘텐츠 data'!$S:$S,0),MATCH(G$3,'IG 콘텐츠 data'!$A$1:$Q$1,0)),"")</f>
        <v>0</v>
      </c>
      <c r="H16" s="197" t="str">
        <f>IFERROR(INDEX('IG 콘텐츠 data'!$A$1:$AJ$25,MATCH('IG 신규발행'!$A16,'IG 콘텐츠 data'!$S:$S,0),MATCH(H$3,'IG 콘텐츠 data'!$A$1:$Q$1,0)),"")</f>
        <v>-</v>
      </c>
      <c r="I16" s="197">
        <f>IFERROR(INDEX('IG 콘텐츠 data'!$A$1:$AJ$25,MATCH('IG 신규발행'!$A16,'IG 콘텐츠 data'!$S:$S,0),MATCH(I$3,'IG 콘텐츠 data'!$A$1:$Q$1,0)),"")</f>
        <v>0</v>
      </c>
      <c r="J16" s="197">
        <f>IFERROR(INDEX('IG 콘텐츠 data'!$A$1:$AJ$25,MATCH('IG 신규발행'!$A16,'IG 콘텐츠 data'!$S:$S,0),MATCH(J$3,'IG 콘텐츠 data'!$A$1:$Q$1,0)),"")</f>
        <v>47740</v>
      </c>
      <c r="K16" s="210" t="str">
        <f>IFERROR(INDEX('IG 콘텐츠 data'!$A$1:$AJ$25,MATCH('IG 신규발행'!$A16,'IG 콘텐츠 data'!$S:$S,0),MATCH(K$3,'IG 콘텐츠 data'!$A$1:$Q$1,0)),"")</f>
        <v>7초</v>
      </c>
      <c r="L16" s="197">
        <f>IFERROR(INDEX('IG 콘텐츠 data'!$A$1:$AJ$25,MATCH('IG 신규발행'!$A16,'IG 콘텐츠 data'!$S:$S,0),MATCH(L$3,'IG 콘텐츠 data'!$A$1:$Q$1,0)),"")</f>
        <v>58</v>
      </c>
      <c r="M16" s="197">
        <f>IFERROR(INDEX('IG 콘텐츠 data'!$A$1:$AJ$25,MATCH('IG 신규발행'!$A16,'IG 콘텐츠 data'!$S:$S,0),MATCH(M$3,'IG 콘텐츠 data'!$A$1:$Q$1,0)),"")</f>
        <v>0</v>
      </c>
      <c r="N16" s="197">
        <f>IFERROR(INDEX('IG 콘텐츠 data'!$A$1:$AJ$25,MATCH('IG 신규발행'!$A16,'IG 콘텐츠 data'!$S:$S,0),MATCH(N$3,'IG 콘텐츠 data'!$A$1:$Q$1,0)),"")</f>
        <v>2</v>
      </c>
      <c r="O16" s="197">
        <f t="shared" si="0"/>
        <v>60</v>
      </c>
      <c r="P16" s="198">
        <f t="shared" si="1"/>
        <v>1.7484045808200017E-3</v>
      </c>
      <c r="R16" s="137">
        <f t="shared" si="2"/>
        <v>12</v>
      </c>
      <c r="S16" s="137">
        <f>RANK(J16,$J$4:$J$42,0)</f>
        <v>1</v>
      </c>
      <c r="W16" s="152"/>
    </row>
    <row r="17" spans="1:23" ht="17.45" customHeight="1">
      <c r="A17" s="209">
        <v>14</v>
      </c>
      <c r="B17" s="195" t="str">
        <f>IFERROR(INDEX('IG 콘텐츠 data'!R:R,MATCH('IG 신규발행'!A17,'IG 콘텐츠 data'!S:S,0)),"")</f>
        <v/>
      </c>
      <c r="C17" s="197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/>
      </c>
      <c r="D17" s="197" t="str">
        <f>IFERROR(INDEX('IG 콘텐츠 data'!$A$1:$AJ$25,MATCH('IG 신규발행'!$A17,'IG 콘텐츠 data'!$S:$S,0),MATCH(D$3,'IG 콘텐츠 data'!$A$1:$Q$1,0)),"")</f>
        <v/>
      </c>
      <c r="E17" s="197" t="str">
        <f>IFERROR(INDEX('IG 콘텐츠 data'!$A$1:$AJ$25,MATCH('IG 신규발행'!$A17,'IG 콘텐츠 data'!$S:$S,0),MATCH(E$3,'IG 콘텐츠 data'!$A$1:$Q$1,0)),"")</f>
        <v/>
      </c>
      <c r="F17" s="197" t="str">
        <f>IFERROR(INDEX('IG 콘텐츠 data'!$A$1:$AJ$25,MATCH('IG 신규발행'!$A17,'IG 콘텐츠 data'!$S:$S,0),MATCH(F$3,'IG 콘텐츠 data'!$A$1:$Q$1,0)),"")</f>
        <v/>
      </c>
      <c r="G17" s="197" t="str">
        <f>IFERROR(INDEX('IG 콘텐츠 data'!$A$1:$AJ$25,MATCH('IG 신규발행'!$A17,'IG 콘텐츠 data'!$S:$S,0),MATCH(G$3,'IG 콘텐츠 data'!$A$1:$Q$1,0)),"")</f>
        <v/>
      </c>
      <c r="H17" s="197" t="str">
        <f>IFERROR(INDEX('IG 콘텐츠 data'!$A$1:$AJ$25,MATCH('IG 신규발행'!$A17,'IG 콘텐츠 data'!$S:$S,0),MATCH(H$3,'IG 콘텐츠 data'!$A$1:$Q$1,0)),"")</f>
        <v/>
      </c>
      <c r="I17" s="197" t="str">
        <f>IFERROR(INDEX('IG 콘텐츠 data'!$A$1:$AJ$25,MATCH('IG 신규발행'!$A17,'IG 콘텐츠 data'!$S:$S,0),MATCH(I$3,'IG 콘텐츠 data'!$A$1:$Q$1,0)),"")</f>
        <v/>
      </c>
      <c r="J17" s="197" t="str">
        <f>IFERROR(INDEX('IG 콘텐츠 data'!$A$1:$AJ$25,MATCH('IG 신규발행'!$A17,'IG 콘텐츠 data'!$S:$S,0),MATCH(J$3,'IG 콘텐츠 data'!$A$1:$Q$1,0)),"")</f>
        <v/>
      </c>
      <c r="K17" s="210" t="str">
        <f>IFERROR(INDEX('IG 콘텐츠 data'!$A$1:$AJ$25,MATCH('IG 신규발행'!$A17,'IG 콘텐츠 data'!$S:$S,0),MATCH(K$3,'IG 콘텐츠 data'!$A$1:$Q$1,0)),"")</f>
        <v/>
      </c>
      <c r="L17" s="197" t="str">
        <f>IFERROR(INDEX('IG 콘텐츠 data'!$A$1:$AJ$25,MATCH('IG 신규발행'!$A17,'IG 콘텐츠 data'!$S:$S,0),MATCH(L$3,'IG 콘텐츠 data'!$A$1:$Q$1,0)),"")</f>
        <v/>
      </c>
      <c r="M17" s="197" t="str">
        <f>IFERROR(INDEX('IG 콘텐츠 data'!$A$1:$AJ$25,MATCH('IG 신규발행'!$A17,'IG 콘텐츠 data'!$S:$S,0),MATCH(M$3,'IG 콘텐츠 data'!$A$1:$Q$1,0)),"")</f>
        <v/>
      </c>
      <c r="N17" s="197" t="str">
        <f>IFERROR(INDEX('IG 콘텐츠 data'!$A$1:$AJ$25,MATCH('IG 신규발행'!$A17,'IG 콘텐츠 data'!$S:$S,0),MATCH(N$3,'IG 콘텐츠 data'!$A$1:$Q$1,0)),"")</f>
        <v/>
      </c>
      <c r="O17" s="197" t="str">
        <f t="shared" si="0"/>
        <v/>
      </c>
      <c r="P17" s="198" t="str">
        <f t="shared" si="1"/>
        <v/>
      </c>
      <c r="R17" s="137" t="e">
        <f t="shared" si="2"/>
        <v>#VALUE!</v>
      </c>
      <c r="S17" s="137" t="e">
        <f t="shared" si="3"/>
        <v>#VALUE!</v>
      </c>
      <c r="W17" s="152"/>
    </row>
    <row r="18" spans="1:23" ht="17.45" customHeight="1">
      <c r="A18" s="209">
        <v>15</v>
      </c>
      <c r="B18" s="195" t="str">
        <f>IFERROR(INDEX('IG 콘텐츠 data'!R:R,MATCH('IG 신규발행'!A18,'IG 콘텐츠 data'!S:S,0)),"")</f>
        <v/>
      </c>
      <c r="C18" s="197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/>
      </c>
      <c r="D18" s="197" t="str">
        <f>IFERROR(INDEX('IG 콘텐츠 data'!$A$1:$AJ$25,MATCH('IG 신규발행'!$A18,'IG 콘텐츠 data'!$S:$S,0),MATCH(D$3,'IG 콘텐츠 data'!$A$1:$Q$1,0)),"")</f>
        <v/>
      </c>
      <c r="E18" s="197" t="str">
        <f>IFERROR(INDEX('IG 콘텐츠 data'!$A$1:$AJ$25,MATCH('IG 신규발행'!$A18,'IG 콘텐츠 data'!$S:$S,0),MATCH(E$3,'IG 콘텐츠 data'!$A$1:$Q$1,0)),"")</f>
        <v/>
      </c>
      <c r="F18" s="197" t="str">
        <f>IFERROR(INDEX('IG 콘텐츠 data'!$A$1:$AJ$25,MATCH('IG 신규발행'!$A18,'IG 콘텐츠 data'!$S:$S,0),MATCH(F$3,'IG 콘텐츠 data'!$A$1:$Q$1,0)),"")</f>
        <v/>
      </c>
      <c r="G18" s="197" t="str">
        <f>IFERROR(INDEX('IG 콘텐츠 data'!$A$1:$AJ$25,MATCH('IG 신규발행'!$A18,'IG 콘텐츠 data'!$S:$S,0),MATCH(G$3,'IG 콘텐츠 data'!$A$1:$Q$1,0)),"")</f>
        <v/>
      </c>
      <c r="H18" s="197" t="str">
        <f>IFERROR(INDEX('IG 콘텐츠 data'!$A$1:$AJ$25,MATCH('IG 신규발행'!$A18,'IG 콘텐츠 data'!$S:$S,0),MATCH(H$3,'IG 콘텐츠 data'!$A$1:$Q$1,0)),"")</f>
        <v/>
      </c>
      <c r="I18" s="197" t="str">
        <f>IFERROR(INDEX('IG 콘텐츠 data'!$A$1:$AJ$25,MATCH('IG 신규발행'!$A18,'IG 콘텐츠 data'!$S:$S,0),MATCH(I$3,'IG 콘텐츠 data'!$A$1:$Q$1,0)),"")</f>
        <v/>
      </c>
      <c r="J18" s="197" t="str">
        <f>IFERROR(INDEX('IG 콘텐츠 data'!$A$1:$AJ$25,MATCH('IG 신규발행'!$A18,'IG 콘텐츠 data'!$S:$S,0),MATCH(J$3,'IG 콘텐츠 data'!$A$1:$Q$1,0)),"")</f>
        <v/>
      </c>
      <c r="K18" s="210" t="str">
        <f>IFERROR(INDEX('IG 콘텐츠 data'!$A$1:$AJ$25,MATCH('IG 신규발행'!$A18,'IG 콘텐츠 data'!$S:$S,0),MATCH(K$3,'IG 콘텐츠 data'!$A$1:$Q$1,0)),"")</f>
        <v/>
      </c>
      <c r="L18" s="197" t="str">
        <f>IFERROR(INDEX('IG 콘텐츠 data'!$A$1:$AJ$25,MATCH('IG 신규발행'!$A18,'IG 콘텐츠 data'!$S:$S,0),MATCH(L$3,'IG 콘텐츠 data'!$A$1:$Q$1,0)),"")</f>
        <v/>
      </c>
      <c r="M18" s="197" t="str">
        <f>IFERROR(INDEX('IG 콘텐츠 data'!$A$1:$AJ$25,MATCH('IG 신규발행'!$A18,'IG 콘텐츠 data'!$S:$S,0),MATCH(M$3,'IG 콘텐츠 data'!$A$1:$Q$1,0)),"")</f>
        <v/>
      </c>
      <c r="N18" s="197" t="str">
        <f>IFERROR(INDEX('IG 콘텐츠 data'!$A$1:$AJ$25,MATCH('IG 신규발행'!$A18,'IG 콘텐츠 data'!$S:$S,0),MATCH(N$3,'IG 콘텐츠 data'!$A$1:$Q$1,0)),"")</f>
        <v/>
      </c>
      <c r="O18" s="197" t="str">
        <f t="shared" si="0"/>
        <v/>
      </c>
      <c r="P18" s="198" t="str">
        <f t="shared" si="1"/>
        <v/>
      </c>
      <c r="R18" s="137" t="e">
        <f t="shared" si="2"/>
        <v>#VALUE!</v>
      </c>
      <c r="S18" s="137" t="e">
        <f t="shared" si="3"/>
        <v>#VALUE!</v>
      </c>
      <c r="W18" s="152"/>
    </row>
    <row r="19" spans="1:23" ht="17.45" customHeight="1">
      <c r="A19" s="209">
        <v>16</v>
      </c>
      <c r="B19" s="195" t="str">
        <f>IFERROR(INDEX('IG 콘텐츠 data'!R:R,MATCH('IG 신규발행'!A19,'IG 콘텐츠 data'!S:S,0)),"")</f>
        <v/>
      </c>
      <c r="C19" s="197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197" t="str">
        <f>IFERROR(INDEX('IG 콘텐츠 data'!$A$1:$AJ$25,MATCH('IG 신규발행'!$A19,'IG 콘텐츠 data'!$S:$S,0),MATCH(D$3,'IG 콘텐츠 data'!$A$1:$Q$1,0)),"")</f>
        <v/>
      </c>
      <c r="E19" s="197" t="str">
        <f>IFERROR(INDEX('IG 콘텐츠 data'!$A$1:$AJ$25,MATCH('IG 신규발행'!$A19,'IG 콘텐츠 data'!$S:$S,0),MATCH(E$3,'IG 콘텐츠 data'!$A$1:$Q$1,0)),"")</f>
        <v/>
      </c>
      <c r="F19" s="197" t="str">
        <f>IFERROR(INDEX('IG 콘텐츠 data'!$A$1:$AJ$25,MATCH('IG 신규발행'!$A19,'IG 콘텐츠 data'!$S:$S,0),MATCH(F$3,'IG 콘텐츠 data'!$A$1:$Q$1,0)),"")</f>
        <v/>
      </c>
      <c r="G19" s="197" t="str">
        <f>IFERROR(INDEX('IG 콘텐츠 data'!$A$1:$AJ$25,MATCH('IG 신규발행'!$A19,'IG 콘텐츠 data'!$S:$S,0),MATCH(G$3,'IG 콘텐츠 data'!$A$1:$Q$1,0)),"")</f>
        <v/>
      </c>
      <c r="H19" s="197" t="str">
        <f>IFERROR(INDEX('IG 콘텐츠 data'!$A$1:$AJ$25,MATCH('IG 신규발행'!$A19,'IG 콘텐츠 data'!$S:$S,0),MATCH(H$3,'IG 콘텐츠 data'!$A$1:$Q$1,0)),"")</f>
        <v/>
      </c>
      <c r="I19" s="197" t="str">
        <f>IFERROR(INDEX('IG 콘텐츠 data'!$A$1:$AJ$25,MATCH('IG 신규발행'!$A19,'IG 콘텐츠 data'!$S:$S,0),MATCH(I$3,'IG 콘텐츠 data'!$A$1:$Q$1,0)),"")</f>
        <v/>
      </c>
      <c r="J19" s="197" t="str">
        <f>IFERROR(INDEX('IG 콘텐츠 data'!$A$1:$AJ$25,MATCH('IG 신규발행'!$A19,'IG 콘텐츠 data'!$S:$S,0),MATCH(J$3,'IG 콘텐츠 data'!$A$1:$Q$1,0)),"")</f>
        <v/>
      </c>
      <c r="K19" s="210" t="str">
        <f>IFERROR(INDEX('IG 콘텐츠 data'!$A$1:$AJ$25,MATCH('IG 신규발행'!$A19,'IG 콘텐츠 data'!$S:$S,0),MATCH(K$3,'IG 콘텐츠 data'!$A$1:$Q$1,0)),"")</f>
        <v/>
      </c>
      <c r="L19" s="197" t="str">
        <f>IFERROR(INDEX('IG 콘텐츠 data'!$A$1:$AJ$25,MATCH('IG 신규발행'!$A19,'IG 콘텐츠 data'!$S:$S,0),MATCH(L$3,'IG 콘텐츠 data'!$A$1:$Q$1,0)),"")</f>
        <v/>
      </c>
      <c r="M19" s="197" t="str">
        <f>IFERROR(INDEX('IG 콘텐츠 data'!$A$1:$AJ$25,MATCH('IG 신규발행'!$A19,'IG 콘텐츠 data'!$S:$S,0),MATCH(M$3,'IG 콘텐츠 data'!$A$1:$Q$1,0)),"")</f>
        <v/>
      </c>
      <c r="N19" s="197" t="str">
        <f>IFERROR(INDEX('IG 콘텐츠 data'!$A$1:$AJ$25,MATCH('IG 신규발행'!$A19,'IG 콘텐츠 data'!$S:$S,0),MATCH(N$3,'IG 콘텐츠 data'!$A$1:$Q$1,0)),"")</f>
        <v/>
      </c>
      <c r="O19" s="197" t="str">
        <f t="shared" si="0"/>
        <v/>
      </c>
      <c r="P19" s="198" t="str">
        <f t="shared" si="1"/>
        <v/>
      </c>
      <c r="R19" s="137" t="e">
        <f t="shared" si="2"/>
        <v>#VALUE!</v>
      </c>
      <c r="S19" s="137" t="e">
        <f t="shared" si="3"/>
        <v>#VALUE!</v>
      </c>
      <c r="W19" s="152"/>
    </row>
    <row r="20" spans="1:23" ht="17.45" customHeight="1">
      <c r="A20" s="209">
        <v>17</v>
      </c>
      <c r="B20" s="195" t="str">
        <f>IFERROR(INDEX('IG 콘텐츠 data'!R:R,MATCH('IG 신규발행'!A20,'IG 콘텐츠 data'!S:S,0)),"")</f>
        <v/>
      </c>
      <c r="C20" s="197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197" t="str">
        <f>IFERROR(INDEX('IG 콘텐츠 data'!$A$1:$AJ$25,MATCH('IG 신규발행'!$A20,'IG 콘텐츠 data'!$S:$S,0),MATCH(D$3,'IG 콘텐츠 data'!$A$1:$Q$1,0)),"")</f>
        <v/>
      </c>
      <c r="E20" s="197" t="str">
        <f>IFERROR(INDEX('IG 콘텐츠 data'!$A$1:$AJ$25,MATCH('IG 신규발행'!$A20,'IG 콘텐츠 data'!$S:$S,0),MATCH(E$3,'IG 콘텐츠 data'!$A$1:$Q$1,0)),"")</f>
        <v/>
      </c>
      <c r="F20" s="197" t="str">
        <f>IFERROR(INDEX('IG 콘텐츠 data'!$A$1:$AJ$25,MATCH('IG 신규발행'!$A20,'IG 콘텐츠 data'!$S:$S,0),MATCH(F$3,'IG 콘텐츠 data'!$A$1:$Q$1,0)),"")</f>
        <v/>
      </c>
      <c r="G20" s="197" t="str">
        <f>IFERROR(INDEX('IG 콘텐츠 data'!$A$1:$AJ$25,MATCH('IG 신규발행'!$A20,'IG 콘텐츠 data'!$S:$S,0),MATCH(G$3,'IG 콘텐츠 data'!$A$1:$Q$1,0)),"")</f>
        <v/>
      </c>
      <c r="H20" s="197" t="str">
        <f>IFERROR(INDEX('IG 콘텐츠 data'!$A$1:$AJ$25,MATCH('IG 신규발행'!$A20,'IG 콘텐츠 data'!$S:$S,0),MATCH(H$3,'IG 콘텐츠 data'!$A$1:$Q$1,0)),"")</f>
        <v/>
      </c>
      <c r="I20" s="197" t="str">
        <f>IFERROR(INDEX('IG 콘텐츠 data'!$A$1:$AJ$25,MATCH('IG 신규발행'!$A20,'IG 콘텐츠 data'!$S:$S,0),MATCH(I$3,'IG 콘텐츠 data'!$A$1:$Q$1,0)),"")</f>
        <v/>
      </c>
      <c r="J20" s="197" t="str">
        <f>IFERROR(INDEX('IG 콘텐츠 data'!$A$1:$AJ$25,MATCH('IG 신규발행'!$A20,'IG 콘텐츠 data'!$S:$S,0),MATCH(J$3,'IG 콘텐츠 data'!$A$1:$Q$1,0)),"")</f>
        <v/>
      </c>
      <c r="K20" s="210" t="str">
        <f>IFERROR(INDEX('IG 콘텐츠 data'!$A$1:$AJ$25,MATCH('IG 신규발행'!$A20,'IG 콘텐츠 data'!$S:$S,0),MATCH(K$3,'IG 콘텐츠 data'!$A$1:$Q$1,0)),"")</f>
        <v/>
      </c>
      <c r="L20" s="197" t="str">
        <f>IFERROR(INDEX('IG 콘텐츠 data'!$A$1:$AJ$25,MATCH('IG 신규발행'!$A20,'IG 콘텐츠 data'!$S:$S,0),MATCH(L$3,'IG 콘텐츠 data'!$A$1:$Q$1,0)),"")</f>
        <v/>
      </c>
      <c r="M20" s="197" t="str">
        <f>IFERROR(INDEX('IG 콘텐츠 data'!$A$1:$AJ$25,MATCH('IG 신규발행'!$A20,'IG 콘텐츠 data'!$S:$S,0),MATCH(M$3,'IG 콘텐츠 data'!$A$1:$Q$1,0)),"")</f>
        <v/>
      </c>
      <c r="N20" s="197" t="str">
        <f>IFERROR(INDEX('IG 콘텐츠 data'!$A$1:$AJ$25,MATCH('IG 신규발행'!$A20,'IG 콘텐츠 data'!$S:$S,0),MATCH(N$3,'IG 콘텐츠 data'!$A$1:$Q$1,0)),"")</f>
        <v/>
      </c>
      <c r="O20" s="197" t="str">
        <f t="shared" si="0"/>
        <v/>
      </c>
      <c r="P20" s="198" t="str">
        <f t="shared" si="1"/>
        <v/>
      </c>
      <c r="R20" s="137" t="e">
        <f t="shared" si="2"/>
        <v>#VALUE!</v>
      </c>
      <c r="S20" s="137" t="e">
        <f t="shared" si="3"/>
        <v>#VALUE!</v>
      </c>
      <c r="W20" s="152"/>
    </row>
    <row r="21" spans="1:23" ht="17.45" customHeight="1">
      <c r="A21" s="209">
        <v>18</v>
      </c>
      <c r="B21" s="195" t="str">
        <f>IFERROR(INDEX('IG 콘텐츠 data'!R:R,MATCH('IG 신규발행'!A21,'IG 콘텐츠 data'!S:S,0)),"")</f>
        <v/>
      </c>
      <c r="C21" s="197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197" t="str">
        <f>IFERROR(INDEX('IG 콘텐츠 data'!$A$1:$AJ$25,MATCH('IG 신규발행'!$A21,'IG 콘텐츠 data'!$S:$S,0),MATCH(D$3,'IG 콘텐츠 data'!$A$1:$Q$1,0)),"")</f>
        <v/>
      </c>
      <c r="E21" s="197" t="str">
        <f>IFERROR(INDEX('IG 콘텐츠 data'!$A$1:$AJ$25,MATCH('IG 신규발행'!$A21,'IG 콘텐츠 data'!$S:$S,0),MATCH(E$3,'IG 콘텐츠 data'!$A$1:$Q$1,0)),"")</f>
        <v/>
      </c>
      <c r="F21" s="197" t="str">
        <f>IFERROR(INDEX('IG 콘텐츠 data'!$A$1:$AJ$25,MATCH('IG 신규발행'!$A21,'IG 콘텐츠 data'!$S:$S,0),MATCH(F$3,'IG 콘텐츠 data'!$A$1:$Q$1,0)),"")</f>
        <v/>
      </c>
      <c r="G21" s="197" t="str">
        <f>IFERROR(INDEX('IG 콘텐츠 data'!$A$1:$AJ$25,MATCH('IG 신규발행'!$A21,'IG 콘텐츠 data'!$S:$S,0),MATCH(G$3,'IG 콘텐츠 data'!$A$1:$Q$1,0)),"")</f>
        <v/>
      </c>
      <c r="H21" s="197" t="str">
        <f>IFERROR(INDEX('IG 콘텐츠 data'!$A$1:$AJ$25,MATCH('IG 신규발행'!$A21,'IG 콘텐츠 data'!$S:$S,0),MATCH(H$3,'IG 콘텐츠 data'!$A$1:$Q$1,0)),"")</f>
        <v/>
      </c>
      <c r="I21" s="197" t="str">
        <f>IFERROR(INDEX('IG 콘텐츠 data'!$A$1:$AJ$25,MATCH('IG 신규발행'!$A21,'IG 콘텐츠 data'!$S:$S,0),MATCH(I$3,'IG 콘텐츠 data'!$A$1:$Q$1,0)),"")</f>
        <v/>
      </c>
      <c r="J21" s="197" t="str">
        <f>IFERROR(INDEX('IG 콘텐츠 data'!$A$1:$AJ$25,MATCH('IG 신규발행'!$A21,'IG 콘텐츠 data'!$S:$S,0),MATCH(J$3,'IG 콘텐츠 data'!$A$1:$Q$1,0)),"")</f>
        <v/>
      </c>
      <c r="K21" s="210" t="str">
        <f>IFERROR(INDEX('IG 콘텐츠 data'!$A$1:$AJ$25,MATCH('IG 신규발행'!$A21,'IG 콘텐츠 data'!$S:$S,0),MATCH(K$3,'IG 콘텐츠 data'!$A$1:$Q$1,0)),"")</f>
        <v/>
      </c>
      <c r="L21" s="197" t="str">
        <f>IFERROR(INDEX('IG 콘텐츠 data'!$A$1:$AJ$25,MATCH('IG 신규발행'!$A21,'IG 콘텐츠 data'!$S:$S,0),MATCH(L$3,'IG 콘텐츠 data'!$A$1:$Q$1,0)),"")</f>
        <v/>
      </c>
      <c r="M21" s="197" t="str">
        <f>IFERROR(INDEX('IG 콘텐츠 data'!$A$1:$AJ$25,MATCH('IG 신규발행'!$A21,'IG 콘텐츠 data'!$S:$S,0),MATCH(M$3,'IG 콘텐츠 data'!$A$1:$Q$1,0)),"")</f>
        <v/>
      </c>
      <c r="N21" s="197" t="str">
        <f>IFERROR(INDEX('IG 콘텐츠 data'!$A$1:$AJ$25,MATCH('IG 신규발행'!$A21,'IG 콘텐츠 data'!$S:$S,0),MATCH(N$3,'IG 콘텐츠 data'!$A$1:$Q$1,0)),"")</f>
        <v/>
      </c>
      <c r="O21" s="197" t="str">
        <f t="shared" si="0"/>
        <v/>
      </c>
      <c r="P21" s="198" t="str">
        <f t="shared" si="1"/>
        <v/>
      </c>
      <c r="R21" s="137" t="e">
        <f t="shared" si="2"/>
        <v>#VALUE!</v>
      </c>
      <c r="S21" s="137" t="e">
        <f t="shared" si="3"/>
        <v>#VALUE!</v>
      </c>
      <c r="W21" s="152"/>
    </row>
    <row r="22" spans="1:23" ht="17.45" customHeight="1">
      <c r="A22" s="209">
        <v>19</v>
      </c>
      <c r="B22" s="195" t="str">
        <f>IFERROR(INDEX('IG 콘텐츠 data'!R:R,MATCH('IG 신규발행'!A22,'IG 콘텐츠 data'!S:S,0)),"")</f>
        <v/>
      </c>
      <c r="C22" s="197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197" t="str">
        <f>IFERROR(INDEX('IG 콘텐츠 data'!$A$1:$AJ$25,MATCH('IG 신규발행'!$A22,'IG 콘텐츠 data'!$S:$S,0),MATCH(D$3,'IG 콘텐츠 data'!$A$1:$Q$1,0)),"")</f>
        <v/>
      </c>
      <c r="E22" s="197" t="str">
        <f>IFERROR(INDEX('IG 콘텐츠 data'!$A$1:$AJ$25,MATCH('IG 신규발행'!$A22,'IG 콘텐츠 data'!$S:$S,0),MATCH(E$3,'IG 콘텐츠 data'!$A$1:$Q$1,0)),"")</f>
        <v/>
      </c>
      <c r="F22" s="197" t="str">
        <f>IFERROR(INDEX('IG 콘텐츠 data'!$A$1:$AJ$25,MATCH('IG 신규발행'!$A22,'IG 콘텐츠 data'!$S:$S,0),MATCH(F$3,'IG 콘텐츠 data'!$A$1:$Q$1,0)),"")</f>
        <v/>
      </c>
      <c r="G22" s="197" t="str">
        <f>IFERROR(INDEX('IG 콘텐츠 data'!$A$1:$AJ$25,MATCH('IG 신규발행'!$A22,'IG 콘텐츠 data'!$S:$S,0),MATCH(G$3,'IG 콘텐츠 data'!$A$1:$Q$1,0)),"")</f>
        <v/>
      </c>
      <c r="H22" s="197" t="str">
        <f>IFERROR(INDEX('IG 콘텐츠 data'!$A$1:$AJ$25,MATCH('IG 신규발행'!$A22,'IG 콘텐츠 data'!$S:$S,0),MATCH(H$3,'IG 콘텐츠 data'!$A$1:$Q$1,0)),"")</f>
        <v/>
      </c>
      <c r="I22" s="197" t="str">
        <f>IFERROR(INDEX('IG 콘텐츠 data'!$A$1:$AJ$25,MATCH('IG 신규발행'!$A22,'IG 콘텐츠 data'!$S:$S,0),MATCH(I$3,'IG 콘텐츠 data'!$A$1:$Q$1,0)),"")</f>
        <v/>
      </c>
      <c r="J22" s="197" t="str">
        <f>IFERROR(INDEX('IG 콘텐츠 data'!$A$1:$AJ$25,MATCH('IG 신규발행'!$A22,'IG 콘텐츠 data'!$S:$S,0),MATCH(J$3,'IG 콘텐츠 data'!$A$1:$Q$1,0)),"")</f>
        <v/>
      </c>
      <c r="K22" s="210" t="str">
        <f>IFERROR(INDEX('IG 콘텐츠 data'!$A$1:$AJ$25,MATCH('IG 신규발행'!$A22,'IG 콘텐츠 data'!$S:$S,0),MATCH(K$3,'IG 콘텐츠 data'!$A$1:$Q$1,0)),"")</f>
        <v/>
      </c>
      <c r="L22" s="197" t="str">
        <f>IFERROR(INDEX('IG 콘텐츠 data'!$A$1:$AJ$25,MATCH('IG 신규발행'!$A22,'IG 콘텐츠 data'!$S:$S,0),MATCH(L$3,'IG 콘텐츠 data'!$A$1:$Q$1,0)),"")</f>
        <v/>
      </c>
      <c r="M22" s="197" t="str">
        <f>IFERROR(INDEX('IG 콘텐츠 data'!$A$1:$AJ$25,MATCH('IG 신규발행'!$A22,'IG 콘텐츠 data'!$S:$S,0),MATCH(M$3,'IG 콘텐츠 data'!$A$1:$Q$1,0)),"")</f>
        <v/>
      </c>
      <c r="N22" s="197" t="str">
        <f>IFERROR(INDEX('IG 콘텐츠 data'!$A$1:$AJ$25,MATCH('IG 신규발행'!$A22,'IG 콘텐츠 data'!$S:$S,0),MATCH(N$3,'IG 콘텐츠 data'!$A$1:$Q$1,0)),"")</f>
        <v/>
      </c>
      <c r="O22" s="197" t="str">
        <f t="shared" si="0"/>
        <v/>
      </c>
      <c r="P22" s="198" t="str">
        <f t="shared" si="1"/>
        <v/>
      </c>
      <c r="R22" s="137" t="e">
        <f t="shared" si="2"/>
        <v>#VALUE!</v>
      </c>
      <c r="S22" s="137" t="e">
        <f t="shared" si="3"/>
        <v>#VALUE!</v>
      </c>
      <c r="W22" s="152"/>
    </row>
    <row r="23" spans="1:23" ht="17.45" customHeight="1">
      <c r="A23" s="209">
        <v>20</v>
      </c>
      <c r="B23" s="195" t="str">
        <f>IFERROR(INDEX('IG 콘텐츠 data'!R:R,MATCH('IG 신규발행'!A23,'IG 콘텐츠 data'!S:S,0)),"")</f>
        <v/>
      </c>
      <c r="C23" s="197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197" t="str">
        <f>IFERROR(INDEX('IG 콘텐츠 data'!$A$1:$AJ$25,MATCH('IG 신규발행'!$A23,'IG 콘텐츠 data'!$S:$S,0),MATCH(D$3,'IG 콘텐츠 data'!$A$1:$Q$1,0)),"")</f>
        <v/>
      </c>
      <c r="E23" s="197" t="str">
        <f>IFERROR(INDEX('IG 콘텐츠 data'!$A$1:$AJ$25,MATCH('IG 신규발행'!$A23,'IG 콘텐츠 data'!$S:$S,0),MATCH(E$3,'IG 콘텐츠 data'!$A$1:$Q$1,0)),"")</f>
        <v/>
      </c>
      <c r="F23" s="197" t="str">
        <f>IFERROR(INDEX('IG 콘텐츠 data'!$A$1:$AJ$25,MATCH('IG 신규발행'!$A23,'IG 콘텐츠 data'!$S:$S,0),MATCH(F$3,'IG 콘텐츠 data'!$A$1:$Q$1,0)),"")</f>
        <v/>
      </c>
      <c r="G23" s="197" t="str">
        <f>IFERROR(INDEX('IG 콘텐츠 data'!$A$1:$AJ$25,MATCH('IG 신규발행'!$A23,'IG 콘텐츠 data'!$S:$S,0),MATCH(G$3,'IG 콘텐츠 data'!$A$1:$Q$1,0)),"")</f>
        <v/>
      </c>
      <c r="H23" s="197" t="str">
        <f>IFERROR(INDEX('IG 콘텐츠 data'!$A$1:$AJ$25,MATCH('IG 신규발행'!$A23,'IG 콘텐츠 data'!$S:$S,0),MATCH(H$3,'IG 콘텐츠 data'!$A$1:$Q$1,0)),"")</f>
        <v/>
      </c>
      <c r="I23" s="197" t="str">
        <f>IFERROR(INDEX('IG 콘텐츠 data'!$A$1:$AJ$25,MATCH('IG 신규발행'!$A23,'IG 콘텐츠 data'!$S:$S,0),MATCH(I$3,'IG 콘텐츠 data'!$A$1:$Q$1,0)),"")</f>
        <v/>
      </c>
      <c r="J23" s="197" t="str">
        <f>IFERROR(INDEX('IG 콘텐츠 data'!$A$1:$AJ$25,MATCH('IG 신규발행'!$A23,'IG 콘텐츠 data'!$S:$S,0),MATCH(J$3,'IG 콘텐츠 data'!$A$1:$Q$1,0)),"")</f>
        <v/>
      </c>
      <c r="K23" s="210" t="str">
        <f>IFERROR(INDEX('IG 콘텐츠 data'!$A$1:$AJ$25,MATCH('IG 신규발행'!$A23,'IG 콘텐츠 data'!$S:$S,0),MATCH(K$3,'IG 콘텐츠 data'!$A$1:$Q$1,0)),"")</f>
        <v/>
      </c>
      <c r="L23" s="197" t="str">
        <f>IFERROR(INDEX('IG 콘텐츠 data'!$A$1:$AJ$25,MATCH('IG 신규발행'!$A23,'IG 콘텐츠 data'!$S:$S,0),MATCH(L$3,'IG 콘텐츠 data'!$A$1:$Q$1,0)),"")</f>
        <v/>
      </c>
      <c r="M23" s="197" t="str">
        <f>IFERROR(INDEX('IG 콘텐츠 data'!$A$1:$AJ$25,MATCH('IG 신규발행'!$A23,'IG 콘텐츠 data'!$S:$S,0),MATCH(M$3,'IG 콘텐츠 data'!$A$1:$Q$1,0)),"")</f>
        <v/>
      </c>
      <c r="N23" s="197" t="str">
        <f>IFERROR(INDEX('IG 콘텐츠 data'!$A$1:$AJ$25,MATCH('IG 신규발행'!$A23,'IG 콘텐츠 data'!$S:$S,0),MATCH(N$3,'IG 콘텐츠 data'!$A$1:$Q$1,0)),"")</f>
        <v/>
      </c>
      <c r="O23" s="197" t="str">
        <f t="shared" si="0"/>
        <v/>
      </c>
      <c r="P23" s="198" t="str">
        <f t="shared" si="1"/>
        <v/>
      </c>
      <c r="R23" s="137" t="e">
        <f t="shared" si="2"/>
        <v>#VALUE!</v>
      </c>
      <c r="S23" s="137" t="e">
        <f t="shared" si="3"/>
        <v>#VALUE!</v>
      </c>
      <c r="W23" s="152"/>
    </row>
    <row r="24" spans="1:23" ht="17.45" customHeight="1">
      <c r="A24" s="209">
        <v>21</v>
      </c>
      <c r="B24" s="195" t="str">
        <f>IFERROR(INDEX('IG 콘텐츠 data'!R:R,MATCH('IG 신규발행'!A24,'IG 콘텐츠 data'!S:S,0)),"")</f>
        <v/>
      </c>
      <c r="C24" s="197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197" t="str">
        <f>IFERROR(INDEX('IG 콘텐츠 data'!$A$1:$AJ$25,MATCH('IG 신규발행'!$A24,'IG 콘텐츠 data'!$S:$S,0),MATCH(D$3,'IG 콘텐츠 data'!$A$1:$Q$1,0)),"")</f>
        <v/>
      </c>
      <c r="E24" s="197" t="str">
        <f>IFERROR(INDEX('IG 콘텐츠 data'!$A$1:$AJ$25,MATCH('IG 신규발행'!$A24,'IG 콘텐츠 data'!$S:$S,0),MATCH(E$3,'IG 콘텐츠 data'!$A$1:$Q$1,0)),"")</f>
        <v/>
      </c>
      <c r="F24" s="197" t="str">
        <f>IFERROR(INDEX('IG 콘텐츠 data'!$A$1:$AJ$25,MATCH('IG 신규발행'!$A24,'IG 콘텐츠 data'!$S:$S,0),MATCH(F$3,'IG 콘텐츠 data'!$A$1:$Q$1,0)),"")</f>
        <v/>
      </c>
      <c r="G24" s="197" t="str">
        <f>IFERROR(INDEX('IG 콘텐츠 data'!$A$1:$AJ$25,MATCH('IG 신규발행'!$A24,'IG 콘텐츠 data'!$S:$S,0),MATCH(G$3,'IG 콘텐츠 data'!$A$1:$Q$1,0)),"")</f>
        <v/>
      </c>
      <c r="H24" s="197" t="str">
        <f>IFERROR(INDEX('IG 콘텐츠 data'!$A$1:$AJ$25,MATCH('IG 신규발행'!$A24,'IG 콘텐츠 data'!$S:$S,0),MATCH(H$3,'IG 콘텐츠 data'!$A$1:$Q$1,0)),"")</f>
        <v/>
      </c>
      <c r="I24" s="197" t="str">
        <f>IFERROR(INDEX('IG 콘텐츠 data'!$A$1:$AJ$25,MATCH('IG 신규발행'!$A24,'IG 콘텐츠 data'!$S:$S,0),MATCH(I$3,'IG 콘텐츠 data'!$A$1:$Q$1,0)),"")</f>
        <v/>
      </c>
      <c r="J24" s="197" t="str">
        <f>IFERROR(INDEX('IG 콘텐츠 data'!$A$1:$AJ$25,MATCH('IG 신규발행'!$A24,'IG 콘텐츠 data'!$S:$S,0),MATCH(J$3,'IG 콘텐츠 data'!$A$1:$Q$1,0)),"")</f>
        <v/>
      </c>
      <c r="K24" s="210" t="str">
        <f>IFERROR(INDEX('IG 콘텐츠 data'!$A$1:$AJ$25,MATCH('IG 신규발행'!$A24,'IG 콘텐츠 data'!$S:$S,0),MATCH(K$3,'IG 콘텐츠 data'!$A$1:$Q$1,0)),"")</f>
        <v/>
      </c>
      <c r="L24" s="197" t="str">
        <f>IFERROR(INDEX('IG 콘텐츠 data'!$A$1:$AJ$25,MATCH('IG 신규발행'!$A24,'IG 콘텐츠 data'!$S:$S,0),MATCH(L$3,'IG 콘텐츠 data'!$A$1:$Q$1,0)),"")</f>
        <v/>
      </c>
      <c r="M24" s="197" t="str">
        <f>IFERROR(INDEX('IG 콘텐츠 data'!$A$1:$AJ$25,MATCH('IG 신규발행'!$A24,'IG 콘텐츠 data'!$S:$S,0),MATCH(M$3,'IG 콘텐츠 data'!$A$1:$Q$1,0)),"")</f>
        <v/>
      </c>
      <c r="N24" s="197" t="str">
        <f>IFERROR(INDEX('IG 콘텐츠 data'!$A$1:$AJ$25,MATCH('IG 신규발행'!$A24,'IG 콘텐츠 data'!$S:$S,0),MATCH(N$3,'IG 콘텐츠 data'!$A$1:$Q$1,0)),"")</f>
        <v/>
      </c>
      <c r="O24" s="197" t="str">
        <f t="shared" si="0"/>
        <v/>
      </c>
      <c r="P24" s="198" t="str">
        <f t="shared" si="1"/>
        <v/>
      </c>
      <c r="R24" s="137" t="e">
        <f t="shared" si="2"/>
        <v>#VALUE!</v>
      </c>
      <c r="S24" s="137" t="e">
        <f t="shared" si="3"/>
        <v>#VALUE!</v>
      </c>
      <c r="W24" s="152"/>
    </row>
    <row r="25" spans="1:23" ht="17.45" customHeight="1">
      <c r="A25" s="209">
        <v>22</v>
      </c>
      <c r="B25" s="195" t="str">
        <f>IFERROR(INDEX('IG 콘텐츠 data'!R:R,MATCH('IG 신규발행'!A25,'IG 콘텐츠 data'!S:S,0)),"")</f>
        <v/>
      </c>
      <c r="C25" s="197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197" t="str">
        <f>IFERROR(INDEX('IG 콘텐츠 data'!$A$1:$AJ$25,MATCH('IG 신규발행'!$A25,'IG 콘텐츠 data'!$S:$S,0),MATCH(D$3,'IG 콘텐츠 data'!$A$1:$Q$1,0)),"")</f>
        <v/>
      </c>
      <c r="E25" s="197" t="str">
        <f>IFERROR(INDEX('IG 콘텐츠 data'!$A$1:$AJ$25,MATCH('IG 신규발행'!$A25,'IG 콘텐츠 data'!$S:$S,0),MATCH(E$3,'IG 콘텐츠 data'!$A$1:$Q$1,0)),"")</f>
        <v/>
      </c>
      <c r="F25" s="197" t="str">
        <f>IFERROR(INDEX('IG 콘텐츠 data'!$A$1:$AJ$25,MATCH('IG 신규발행'!$A25,'IG 콘텐츠 data'!$S:$S,0),MATCH(F$3,'IG 콘텐츠 data'!$A$1:$Q$1,0)),"")</f>
        <v/>
      </c>
      <c r="G25" s="197" t="str">
        <f>IFERROR(INDEX('IG 콘텐츠 data'!$A$1:$AJ$25,MATCH('IG 신규발행'!$A25,'IG 콘텐츠 data'!$S:$S,0),MATCH(G$3,'IG 콘텐츠 data'!$A$1:$Q$1,0)),"")</f>
        <v/>
      </c>
      <c r="H25" s="197" t="str">
        <f>IFERROR(INDEX('IG 콘텐츠 data'!$A$1:$AJ$25,MATCH('IG 신규발행'!$A25,'IG 콘텐츠 data'!$S:$S,0),MATCH(H$3,'IG 콘텐츠 data'!$A$1:$Q$1,0)),"")</f>
        <v/>
      </c>
      <c r="I25" s="197" t="str">
        <f>IFERROR(INDEX('IG 콘텐츠 data'!$A$1:$AJ$25,MATCH('IG 신규발행'!$A25,'IG 콘텐츠 data'!$S:$S,0),MATCH(I$3,'IG 콘텐츠 data'!$A$1:$Q$1,0)),"")</f>
        <v/>
      </c>
      <c r="J25" s="197" t="str">
        <f>IFERROR(INDEX('IG 콘텐츠 data'!$A$1:$AJ$25,MATCH('IG 신규발행'!$A25,'IG 콘텐츠 data'!$S:$S,0),MATCH(J$3,'IG 콘텐츠 data'!$A$1:$Q$1,0)),"")</f>
        <v/>
      </c>
      <c r="K25" s="210" t="str">
        <f>IFERROR(INDEX('IG 콘텐츠 data'!$A$1:$AJ$25,MATCH('IG 신규발행'!$A25,'IG 콘텐츠 data'!$S:$S,0),MATCH(K$3,'IG 콘텐츠 data'!$A$1:$Q$1,0)),"")</f>
        <v/>
      </c>
      <c r="L25" s="197" t="str">
        <f>IFERROR(INDEX('IG 콘텐츠 data'!$A$1:$AJ$25,MATCH('IG 신규발행'!$A25,'IG 콘텐츠 data'!$S:$S,0),MATCH(L$3,'IG 콘텐츠 data'!$A$1:$Q$1,0)),"")</f>
        <v/>
      </c>
      <c r="M25" s="197" t="str">
        <f>IFERROR(INDEX('IG 콘텐츠 data'!$A$1:$AJ$25,MATCH('IG 신규발행'!$A25,'IG 콘텐츠 data'!$S:$S,0),MATCH(M$3,'IG 콘텐츠 data'!$A$1:$Q$1,0)),"")</f>
        <v/>
      </c>
      <c r="N25" s="197" t="str">
        <f>IFERROR(INDEX('IG 콘텐츠 data'!$A$1:$AJ$25,MATCH('IG 신규발행'!$A25,'IG 콘텐츠 data'!$S:$S,0),MATCH(N$3,'IG 콘텐츠 data'!$A$1:$Q$1,0)),"")</f>
        <v/>
      </c>
      <c r="O25" s="197" t="str">
        <f t="shared" si="0"/>
        <v/>
      </c>
      <c r="P25" s="198" t="str">
        <f t="shared" si="1"/>
        <v/>
      </c>
      <c r="R25" s="137" t="e">
        <f t="shared" si="2"/>
        <v>#VALUE!</v>
      </c>
      <c r="S25" s="137" t="e">
        <f t="shared" si="3"/>
        <v>#VALUE!</v>
      </c>
      <c r="W25" s="152"/>
    </row>
    <row r="26" spans="1:23" ht="17.45" customHeight="1">
      <c r="A26" s="209">
        <v>23</v>
      </c>
      <c r="B26" s="195" t="str">
        <f>IFERROR(INDEX('IG 콘텐츠 data'!R:R,MATCH('IG 신규발행'!A26,'IG 콘텐츠 data'!S:S,0)),"")</f>
        <v/>
      </c>
      <c r="C26" s="197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197" t="str">
        <f>IFERROR(INDEX('IG 콘텐츠 data'!$A$1:$AJ$25,MATCH('IG 신규발행'!$A26,'IG 콘텐츠 data'!$S:$S,0),MATCH(D$3,'IG 콘텐츠 data'!$A$1:$Q$1,0)),"")</f>
        <v/>
      </c>
      <c r="E26" s="197" t="str">
        <f>IFERROR(INDEX('IG 콘텐츠 data'!$A$1:$AJ$25,MATCH('IG 신규발행'!$A26,'IG 콘텐츠 data'!$S:$S,0),MATCH(E$3,'IG 콘텐츠 data'!$A$1:$Q$1,0)),"")</f>
        <v/>
      </c>
      <c r="F26" s="197" t="str">
        <f>IFERROR(INDEX('IG 콘텐츠 data'!$A$1:$AJ$25,MATCH('IG 신규발행'!$A26,'IG 콘텐츠 data'!$S:$S,0),MATCH(F$3,'IG 콘텐츠 data'!$A$1:$Q$1,0)),"")</f>
        <v/>
      </c>
      <c r="G26" s="197" t="str">
        <f>IFERROR(INDEX('IG 콘텐츠 data'!$A$1:$AJ$25,MATCH('IG 신규발행'!$A26,'IG 콘텐츠 data'!$S:$S,0),MATCH(G$3,'IG 콘텐츠 data'!$A$1:$Q$1,0)),"")</f>
        <v/>
      </c>
      <c r="H26" s="197" t="str">
        <f>IFERROR(INDEX('IG 콘텐츠 data'!$A$1:$AJ$25,MATCH('IG 신규발행'!$A26,'IG 콘텐츠 data'!$S:$S,0),MATCH(H$3,'IG 콘텐츠 data'!$A$1:$Q$1,0)),"")</f>
        <v/>
      </c>
      <c r="I26" s="197" t="str">
        <f>IFERROR(INDEX('IG 콘텐츠 data'!$A$1:$AJ$25,MATCH('IG 신규발행'!$A26,'IG 콘텐츠 data'!$S:$S,0),MATCH(I$3,'IG 콘텐츠 data'!$A$1:$Q$1,0)),"")</f>
        <v/>
      </c>
      <c r="J26" s="197" t="str">
        <f>IFERROR(INDEX('IG 콘텐츠 data'!$A$1:$AJ$25,MATCH('IG 신규발행'!$A26,'IG 콘텐츠 data'!$S:$S,0),MATCH(J$3,'IG 콘텐츠 data'!$A$1:$Q$1,0)),"")</f>
        <v/>
      </c>
      <c r="K26" s="210" t="str">
        <f>IFERROR(INDEX('IG 콘텐츠 data'!$A$1:$AJ$25,MATCH('IG 신규발행'!$A26,'IG 콘텐츠 data'!$S:$S,0),MATCH(K$3,'IG 콘텐츠 data'!$A$1:$Q$1,0)),"")</f>
        <v/>
      </c>
      <c r="L26" s="197" t="str">
        <f>IFERROR(INDEX('IG 콘텐츠 data'!$A$1:$AJ$25,MATCH('IG 신규발행'!$A26,'IG 콘텐츠 data'!$S:$S,0),MATCH(L$3,'IG 콘텐츠 data'!$A$1:$Q$1,0)),"")</f>
        <v/>
      </c>
      <c r="M26" s="197" t="str">
        <f>IFERROR(INDEX('IG 콘텐츠 data'!$A$1:$AJ$25,MATCH('IG 신규발행'!$A26,'IG 콘텐츠 data'!$S:$S,0),MATCH(M$3,'IG 콘텐츠 data'!$A$1:$Q$1,0)),"")</f>
        <v/>
      </c>
      <c r="N26" s="197" t="str">
        <f>IFERROR(INDEX('IG 콘텐츠 data'!$A$1:$AJ$25,MATCH('IG 신규발행'!$A26,'IG 콘텐츠 data'!$S:$S,0),MATCH(N$3,'IG 콘텐츠 data'!$A$1:$Q$1,0)),"")</f>
        <v/>
      </c>
      <c r="O26" s="197" t="str">
        <f t="shared" si="0"/>
        <v/>
      </c>
      <c r="P26" s="198" t="str">
        <f t="shared" si="1"/>
        <v/>
      </c>
      <c r="R26" s="137" t="e">
        <f t="shared" si="2"/>
        <v>#VALUE!</v>
      </c>
      <c r="S26" s="137" t="e">
        <f t="shared" si="3"/>
        <v>#VALUE!</v>
      </c>
      <c r="W26" s="152"/>
    </row>
    <row r="27" spans="1:23" ht="17.45" customHeight="1">
      <c r="A27" s="209">
        <v>24</v>
      </c>
      <c r="B27" s="195" t="str">
        <f>IFERROR(INDEX('IG 콘텐츠 data'!R:R,MATCH('IG 신규발행'!A27,'IG 콘텐츠 data'!S:S,0)),"")</f>
        <v/>
      </c>
      <c r="C27" s="197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197" t="str">
        <f>IFERROR(INDEX('IG 콘텐츠 data'!$A$1:$AJ$25,MATCH('IG 신규발행'!$A27,'IG 콘텐츠 data'!$S:$S,0),MATCH(D$3,'IG 콘텐츠 data'!$A$1:$Q$1,0)),"")</f>
        <v/>
      </c>
      <c r="E27" s="197" t="str">
        <f>IFERROR(INDEX('IG 콘텐츠 data'!$A$1:$AJ$25,MATCH('IG 신규발행'!$A27,'IG 콘텐츠 data'!$S:$S,0),MATCH(E$3,'IG 콘텐츠 data'!$A$1:$Q$1,0)),"")</f>
        <v/>
      </c>
      <c r="F27" s="197" t="str">
        <f>IFERROR(INDEX('IG 콘텐츠 data'!$A$1:$AJ$25,MATCH('IG 신규발행'!$A27,'IG 콘텐츠 data'!$S:$S,0),MATCH(F$3,'IG 콘텐츠 data'!$A$1:$Q$1,0)),"")</f>
        <v/>
      </c>
      <c r="G27" s="197" t="str">
        <f>IFERROR(INDEX('IG 콘텐츠 data'!$A$1:$AJ$25,MATCH('IG 신규발행'!$A27,'IG 콘텐츠 data'!$S:$S,0),MATCH(G$3,'IG 콘텐츠 data'!$A$1:$Q$1,0)),"")</f>
        <v/>
      </c>
      <c r="H27" s="197" t="str">
        <f>IFERROR(INDEX('IG 콘텐츠 data'!$A$1:$AJ$25,MATCH('IG 신규발행'!$A27,'IG 콘텐츠 data'!$S:$S,0),MATCH(H$3,'IG 콘텐츠 data'!$A$1:$Q$1,0)),"")</f>
        <v/>
      </c>
      <c r="I27" s="197" t="str">
        <f>IFERROR(INDEX('IG 콘텐츠 data'!$A$1:$AJ$25,MATCH('IG 신규발행'!$A27,'IG 콘텐츠 data'!$S:$S,0),MATCH(I$3,'IG 콘텐츠 data'!$A$1:$Q$1,0)),"")</f>
        <v/>
      </c>
      <c r="J27" s="197" t="str">
        <f>IFERROR(INDEX('IG 콘텐츠 data'!$A$1:$AJ$25,MATCH('IG 신규발행'!$A27,'IG 콘텐츠 data'!$S:$S,0),MATCH(J$3,'IG 콘텐츠 data'!$A$1:$Q$1,0)),"")</f>
        <v/>
      </c>
      <c r="K27" s="210" t="str">
        <f>IFERROR(INDEX('IG 콘텐츠 data'!$A$1:$AJ$25,MATCH('IG 신규발행'!$A27,'IG 콘텐츠 data'!$S:$S,0),MATCH(K$3,'IG 콘텐츠 data'!$A$1:$Q$1,0)),"")</f>
        <v/>
      </c>
      <c r="L27" s="197" t="str">
        <f>IFERROR(INDEX('IG 콘텐츠 data'!$A$1:$AJ$25,MATCH('IG 신규발행'!$A27,'IG 콘텐츠 data'!$S:$S,0),MATCH(L$3,'IG 콘텐츠 data'!$A$1:$Q$1,0)),"")</f>
        <v/>
      </c>
      <c r="M27" s="197" t="str">
        <f>IFERROR(INDEX('IG 콘텐츠 data'!$A$1:$AJ$25,MATCH('IG 신규발행'!$A27,'IG 콘텐츠 data'!$S:$S,0),MATCH(M$3,'IG 콘텐츠 data'!$A$1:$Q$1,0)),"")</f>
        <v/>
      </c>
      <c r="N27" s="197" t="str">
        <f>IFERROR(INDEX('IG 콘텐츠 data'!$A$1:$AJ$25,MATCH('IG 신규발행'!$A27,'IG 콘텐츠 data'!$S:$S,0),MATCH(N$3,'IG 콘텐츠 data'!$A$1:$Q$1,0)),"")</f>
        <v/>
      </c>
      <c r="O27" s="197" t="str">
        <f t="shared" si="0"/>
        <v/>
      </c>
      <c r="P27" s="198" t="str">
        <f t="shared" si="1"/>
        <v/>
      </c>
      <c r="R27" s="137" t="e">
        <f t="shared" si="2"/>
        <v>#VALUE!</v>
      </c>
      <c r="S27" s="137" t="e">
        <f t="shared" si="3"/>
        <v>#VALUE!</v>
      </c>
      <c r="W27" s="152"/>
    </row>
    <row r="28" spans="1:23" ht="17.45" customHeight="1">
      <c r="A28" s="209">
        <v>25</v>
      </c>
      <c r="B28" s="195" t="str">
        <f>IFERROR(INDEX('IG 콘텐츠 data'!R:R,MATCH('IG 신규발행'!A28,'IG 콘텐츠 data'!S:S,0)),"")</f>
        <v/>
      </c>
      <c r="C28" s="197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197" t="str">
        <f>IFERROR(INDEX('IG 콘텐츠 data'!$A$1:$AJ$25,MATCH('IG 신규발행'!$A28,'IG 콘텐츠 data'!$S:$S,0),MATCH(D$3,'IG 콘텐츠 data'!$A$1:$Q$1,0)),"")</f>
        <v/>
      </c>
      <c r="E28" s="197" t="str">
        <f>IFERROR(INDEX('IG 콘텐츠 data'!$A$1:$AJ$25,MATCH('IG 신규발행'!$A28,'IG 콘텐츠 data'!$S:$S,0),MATCH(E$3,'IG 콘텐츠 data'!$A$1:$Q$1,0)),"")</f>
        <v/>
      </c>
      <c r="F28" s="197" t="str">
        <f>IFERROR(INDEX('IG 콘텐츠 data'!$A$1:$AJ$25,MATCH('IG 신규발행'!$A28,'IG 콘텐츠 data'!$S:$S,0),MATCH(F$3,'IG 콘텐츠 data'!$A$1:$Q$1,0)),"")</f>
        <v/>
      </c>
      <c r="G28" s="197" t="str">
        <f>IFERROR(INDEX('IG 콘텐츠 data'!$A$1:$AJ$25,MATCH('IG 신규발행'!$A28,'IG 콘텐츠 data'!$S:$S,0),MATCH(G$3,'IG 콘텐츠 data'!$A$1:$Q$1,0)),"")</f>
        <v/>
      </c>
      <c r="H28" s="197" t="str">
        <f>IFERROR(INDEX('IG 콘텐츠 data'!$A$1:$AJ$25,MATCH('IG 신규발행'!$A28,'IG 콘텐츠 data'!$S:$S,0),MATCH(H$3,'IG 콘텐츠 data'!$A$1:$Q$1,0)),"")</f>
        <v/>
      </c>
      <c r="I28" s="197" t="str">
        <f>IFERROR(INDEX('IG 콘텐츠 data'!$A$1:$AJ$25,MATCH('IG 신규발행'!$A28,'IG 콘텐츠 data'!$S:$S,0),MATCH(I$3,'IG 콘텐츠 data'!$A$1:$Q$1,0)),"")</f>
        <v/>
      </c>
      <c r="J28" s="197" t="str">
        <f>IFERROR(INDEX('IG 콘텐츠 data'!$A$1:$AJ$25,MATCH('IG 신규발행'!$A28,'IG 콘텐츠 data'!$S:$S,0),MATCH(J$3,'IG 콘텐츠 data'!$A$1:$Q$1,0)),"")</f>
        <v/>
      </c>
      <c r="K28" s="210" t="str">
        <f>IFERROR(INDEX('IG 콘텐츠 data'!$A$1:$AJ$25,MATCH('IG 신규발행'!$A28,'IG 콘텐츠 data'!$S:$S,0),MATCH(K$3,'IG 콘텐츠 data'!$A$1:$Q$1,0)),"")</f>
        <v/>
      </c>
      <c r="L28" s="197" t="str">
        <f>IFERROR(INDEX('IG 콘텐츠 data'!$A$1:$AJ$25,MATCH('IG 신규발행'!$A28,'IG 콘텐츠 data'!$S:$S,0),MATCH(L$3,'IG 콘텐츠 data'!$A$1:$Q$1,0)),"")</f>
        <v/>
      </c>
      <c r="M28" s="197" t="str">
        <f>IFERROR(INDEX('IG 콘텐츠 data'!$A$1:$AJ$25,MATCH('IG 신규발행'!$A28,'IG 콘텐츠 data'!$S:$S,0),MATCH(M$3,'IG 콘텐츠 data'!$A$1:$Q$1,0)),"")</f>
        <v/>
      </c>
      <c r="N28" s="197" t="str">
        <f>IFERROR(INDEX('IG 콘텐츠 data'!$A$1:$AJ$25,MATCH('IG 신규발행'!$A28,'IG 콘텐츠 data'!$S:$S,0),MATCH(N$3,'IG 콘텐츠 data'!$A$1:$Q$1,0)),"")</f>
        <v/>
      </c>
      <c r="O28" s="197" t="str">
        <f t="shared" si="0"/>
        <v/>
      </c>
      <c r="P28" s="198" t="str">
        <f t="shared" si="1"/>
        <v/>
      </c>
      <c r="R28" s="137" t="e">
        <f t="shared" si="2"/>
        <v>#VALUE!</v>
      </c>
      <c r="S28" s="137" t="e">
        <f t="shared" si="3"/>
        <v>#VALUE!</v>
      </c>
      <c r="W28" s="152"/>
    </row>
    <row r="29" spans="1:23" ht="17.45" customHeight="1">
      <c r="A29" s="209">
        <v>26</v>
      </c>
      <c r="B29" s="195" t="str">
        <f>IFERROR(INDEX('IG 콘텐츠 data'!R:R,MATCH('IG 신규발행'!A29,'IG 콘텐츠 data'!S:S,0)),"")</f>
        <v/>
      </c>
      <c r="C29" s="197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197" t="str">
        <f>IFERROR(INDEX('IG 콘텐츠 data'!$A$1:$AJ$25,MATCH('IG 신규발행'!$A29,'IG 콘텐츠 data'!$S:$S,0),MATCH(D$3,'IG 콘텐츠 data'!$A$1:$Q$1,0)),"")</f>
        <v/>
      </c>
      <c r="E29" s="197" t="str">
        <f>IFERROR(INDEX('IG 콘텐츠 data'!$A$1:$AJ$25,MATCH('IG 신규발행'!$A29,'IG 콘텐츠 data'!$S:$S,0),MATCH(E$3,'IG 콘텐츠 data'!$A$1:$Q$1,0)),"")</f>
        <v/>
      </c>
      <c r="F29" s="197" t="str">
        <f>IFERROR(INDEX('IG 콘텐츠 data'!$A$1:$AJ$25,MATCH('IG 신규발행'!$A29,'IG 콘텐츠 data'!$S:$S,0),MATCH(F$3,'IG 콘텐츠 data'!$A$1:$Q$1,0)),"")</f>
        <v/>
      </c>
      <c r="G29" s="197" t="str">
        <f>IFERROR(INDEX('IG 콘텐츠 data'!$A$1:$AJ$25,MATCH('IG 신규발행'!$A29,'IG 콘텐츠 data'!$S:$S,0),MATCH(G$3,'IG 콘텐츠 data'!$A$1:$Q$1,0)),"")</f>
        <v/>
      </c>
      <c r="H29" s="197" t="str">
        <f>IFERROR(INDEX('IG 콘텐츠 data'!$A$1:$AJ$25,MATCH('IG 신규발행'!$A29,'IG 콘텐츠 data'!$S:$S,0),MATCH(H$3,'IG 콘텐츠 data'!$A$1:$Q$1,0)),"")</f>
        <v/>
      </c>
      <c r="I29" s="197" t="str">
        <f>IFERROR(INDEX('IG 콘텐츠 data'!$A$1:$AJ$25,MATCH('IG 신규발행'!$A29,'IG 콘텐츠 data'!$S:$S,0),MATCH(I$3,'IG 콘텐츠 data'!$A$1:$Q$1,0)),"")</f>
        <v/>
      </c>
      <c r="J29" s="197" t="str">
        <f>IFERROR(INDEX('IG 콘텐츠 data'!$A$1:$AJ$25,MATCH('IG 신규발행'!$A29,'IG 콘텐츠 data'!$S:$S,0),MATCH(J$3,'IG 콘텐츠 data'!$A$1:$Q$1,0)),"")</f>
        <v/>
      </c>
      <c r="K29" s="210" t="str">
        <f>IFERROR(INDEX('IG 콘텐츠 data'!$A$1:$AJ$25,MATCH('IG 신규발행'!$A29,'IG 콘텐츠 data'!$S:$S,0),MATCH(K$3,'IG 콘텐츠 data'!$A$1:$Q$1,0)),"")</f>
        <v/>
      </c>
      <c r="L29" s="197" t="str">
        <f>IFERROR(INDEX('IG 콘텐츠 data'!$A$1:$AJ$25,MATCH('IG 신규발행'!$A29,'IG 콘텐츠 data'!$S:$S,0),MATCH(L$3,'IG 콘텐츠 data'!$A$1:$Q$1,0)),"")</f>
        <v/>
      </c>
      <c r="M29" s="197" t="str">
        <f>IFERROR(INDEX('IG 콘텐츠 data'!$A$1:$AJ$25,MATCH('IG 신규발행'!$A29,'IG 콘텐츠 data'!$S:$S,0),MATCH(M$3,'IG 콘텐츠 data'!$A$1:$Q$1,0)),"")</f>
        <v/>
      </c>
      <c r="N29" s="197" t="str">
        <f>IFERROR(INDEX('IG 콘텐츠 data'!$A$1:$AJ$25,MATCH('IG 신규발행'!$A29,'IG 콘텐츠 data'!$S:$S,0),MATCH(N$3,'IG 콘텐츠 data'!$A$1:$Q$1,0)),"")</f>
        <v/>
      </c>
      <c r="O29" s="197" t="str">
        <f t="shared" si="0"/>
        <v/>
      </c>
      <c r="P29" s="198" t="str">
        <f t="shared" si="1"/>
        <v/>
      </c>
      <c r="R29" s="137" t="e">
        <f t="shared" si="2"/>
        <v>#VALUE!</v>
      </c>
      <c r="S29" s="137" t="e">
        <f t="shared" si="3"/>
        <v>#VALUE!</v>
      </c>
      <c r="W29" s="152"/>
    </row>
    <row r="30" spans="1:23" ht="17.45" customHeight="1">
      <c r="A30" s="209">
        <v>27</v>
      </c>
      <c r="B30" s="195" t="str">
        <f>IFERROR(INDEX('IG 콘텐츠 data'!R:R,MATCH('IG 신규발행'!A30,'IG 콘텐츠 data'!S:S,0)),"")</f>
        <v/>
      </c>
      <c r="C30" s="197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197" t="str">
        <f>IFERROR(INDEX('IG 콘텐츠 data'!$A$1:$AJ$25,MATCH('IG 신규발행'!$A30,'IG 콘텐츠 data'!$S:$S,0),MATCH(D$3,'IG 콘텐츠 data'!$A$1:$Q$1,0)),"")</f>
        <v/>
      </c>
      <c r="E30" s="197" t="str">
        <f>IFERROR(INDEX('IG 콘텐츠 data'!$A$1:$AJ$25,MATCH('IG 신규발행'!$A30,'IG 콘텐츠 data'!$S:$S,0),MATCH(E$3,'IG 콘텐츠 data'!$A$1:$Q$1,0)),"")</f>
        <v/>
      </c>
      <c r="F30" s="197" t="str">
        <f>IFERROR(INDEX('IG 콘텐츠 data'!$A$1:$AJ$25,MATCH('IG 신규발행'!$A30,'IG 콘텐츠 data'!$S:$S,0),MATCH(F$3,'IG 콘텐츠 data'!$A$1:$Q$1,0)),"")</f>
        <v/>
      </c>
      <c r="G30" s="197" t="str">
        <f>IFERROR(INDEX('IG 콘텐츠 data'!$A$1:$AJ$25,MATCH('IG 신규발행'!$A30,'IG 콘텐츠 data'!$S:$S,0),MATCH(G$3,'IG 콘텐츠 data'!$A$1:$Q$1,0)),"")</f>
        <v/>
      </c>
      <c r="H30" s="197" t="str">
        <f>IFERROR(INDEX('IG 콘텐츠 data'!$A$1:$AJ$25,MATCH('IG 신규발행'!$A30,'IG 콘텐츠 data'!$S:$S,0),MATCH(H$3,'IG 콘텐츠 data'!$A$1:$Q$1,0)),"")</f>
        <v/>
      </c>
      <c r="I30" s="197" t="str">
        <f>IFERROR(INDEX('IG 콘텐츠 data'!$A$1:$AJ$25,MATCH('IG 신규발행'!$A30,'IG 콘텐츠 data'!$S:$S,0),MATCH(I$3,'IG 콘텐츠 data'!$A$1:$Q$1,0)),"")</f>
        <v/>
      </c>
      <c r="J30" s="197" t="str">
        <f>IFERROR(INDEX('IG 콘텐츠 data'!$A$1:$AJ$25,MATCH('IG 신규발행'!$A30,'IG 콘텐츠 data'!$S:$S,0),MATCH(J$3,'IG 콘텐츠 data'!$A$1:$Q$1,0)),"")</f>
        <v/>
      </c>
      <c r="K30" s="210" t="str">
        <f>IFERROR(INDEX('IG 콘텐츠 data'!$A$1:$AJ$25,MATCH('IG 신규발행'!$A30,'IG 콘텐츠 data'!$S:$S,0),MATCH(K$3,'IG 콘텐츠 data'!$A$1:$Q$1,0)),"")</f>
        <v/>
      </c>
      <c r="L30" s="197" t="str">
        <f>IFERROR(INDEX('IG 콘텐츠 data'!$A$1:$AJ$25,MATCH('IG 신규발행'!$A30,'IG 콘텐츠 data'!$S:$S,0),MATCH(L$3,'IG 콘텐츠 data'!$A$1:$Q$1,0)),"")</f>
        <v/>
      </c>
      <c r="M30" s="197" t="str">
        <f>IFERROR(INDEX('IG 콘텐츠 data'!$A$1:$AJ$25,MATCH('IG 신규발행'!$A30,'IG 콘텐츠 data'!$S:$S,0),MATCH(M$3,'IG 콘텐츠 data'!$A$1:$Q$1,0)),"")</f>
        <v/>
      </c>
      <c r="N30" s="197" t="str">
        <f>IFERROR(INDEX('IG 콘텐츠 data'!$A$1:$AJ$25,MATCH('IG 신규발행'!$A30,'IG 콘텐츠 data'!$S:$S,0),MATCH(N$3,'IG 콘텐츠 data'!$A$1:$Q$1,0)),"")</f>
        <v/>
      </c>
      <c r="O30" s="197" t="str">
        <f t="shared" si="0"/>
        <v/>
      </c>
      <c r="P30" s="198" t="str">
        <f t="shared" si="1"/>
        <v/>
      </c>
      <c r="R30" s="137" t="e">
        <f t="shared" si="2"/>
        <v>#VALUE!</v>
      </c>
      <c r="S30" s="137" t="e">
        <f t="shared" si="3"/>
        <v>#VALUE!</v>
      </c>
      <c r="W30" s="152"/>
    </row>
    <row r="31" spans="1:23" ht="17.45" customHeight="1">
      <c r="A31" s="209">
        <v>28</v>
      </c>
      <c r="B31" s="195" t="str">
        <f>IFERROR(INDEX('IG 콘텐츠 data'!R:R,MATCH('IG 신규발행'!A31,'IG 콘텐츠 data'!S:S,0)),"")</f>
        <v/>
      </c>
      <c r="C31" s="197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197" t="str">
        <f>IFERROR(INDEX('IG 콘텐츠 data'!$A$1:$AJ$25,MATCH('IG 신규발행'!$A31,'IG 콘텐츠 data'!$S:$S,0),MATCH(D$3,'IG 콘텐츠 data'!$A$1:$Q$1,0)),"")</f>
        <v/>
      </c>
      <c r="E31" s="197" t="str">
        <f>IFERROR(INDEX('IG 콘텐츠 data'!$A$1:$AJ$25,MATCH('IG 신규발행'!$A31,'IG 콘텐츠 data'!$S:$S,0),MATCH(E$3,'IG 콘텐츠 data'!$A$1:$Q$1,0)),"")</f>
        <v/>
      </c>
      <c r="F31" s="197" t="str">
        <f>IFERROR(INDEX('IG 콘텐츠 data'!$A$1:$AJ$25,MATCH('IG 신규발행'!$A31,'IG 콘텐츠 data'!$S:$S,0),MATCH(F$3,'IG 콘텐츠 data'!$A$1:$Q$1,0)),"")</f>
        <v/>
      </c>
      <c r="G31" s="197" t="str">
        <f>IFERROR(INDEX('IG 콘텐츠 data'!$A$1:$AJ$25,MATCH('IG 신규발행'!$A31,'IG 콘텐츠 data'!$S:$S,0),MATCH(G$3,'IG 콘텐츠 data'!$A$1:$Q$1,0)),"")</f>
        <v/>
      </c>
      <c r="H31" s="197" t="str">
        <f>IFERROR(INDEX('IG 콘텐츠 data'!$A$1:$AJ$25,MATCH('IG 신규발행'!$A31,'IG 콘텐츠 data'!$S:$S,0),MATCH(H$3,'IG 콘텐츠 data'!$A$1:$Q$1,0)),"")</f>
        <v/>
      </c>
      <c r="I31" s="197" t="str">
        <f>IFERROR(INDEX('IG 콘텐츠 data'!$A$1:$AJ$25,MATCH('IG 신규발행'!$A31,'IG 콘텐츠 data'!$S:$S,0),MATCH(I$3,'IG 콘텐츠 data'!$A$1:$Q$1,0)),"")</f>
        <v/>
      </c>
      <c r="J31" s="197" t="str">
        <f>IFERROR(INDEX('IG 콘텐츠 data'!$A$1:$AJ$25,MATCH('IG 신규발행'!$A31,'IG 콘텐츠 data'!$S:$S,0),MATCH(J$3,'IG 콘텐츠 data'!$A$1:$Q$1,0)),"")</f>
        <v/>
      </c>
      <c r="K31" s="210" t="str">
        <f>IFERROR(INDEX('IG 콘텐츠 data'!$A$1:$AJ$25,MATCH('IG 신규발행'!$A31,'IG 콘텐츠 data'!$S:$S,0),MATCH(K$3,'IG 콘텐츠 data'!$A$1:$Q$1,0)),"")</f>
        <v/>
      </c>
      <c r="L31" s="197" t="str">
        <f>IFERROR(INDEX('IG 콘텐츠 data'!$A$1:$AJ$25,MATCH('IG 신규발행'!$A31,'IG 콘텐츠 data'!$S:$S,0),MATCH(L$3,'IG 콘텐츠 data'!$A$1:$Q$1,0)),"")</f>
        <v/>
      </c>
      <c r="M31" s="197" t="str">
        <f>IFERROR(INDEX('IG 콘텐츠 data'!$A$1:$AJ$25,MATCH('IG 신규발행'!$A31,'IG 콘텐츠 data'!$S:$S,0),MATCH(M$3,'IG 콘텐츠 data'!$A$1:$Q$1,0)),"")</f>
        <v/>
      </c>
      <c r="N31" s="197" t="str">
        <f>IFERROR(INDEX('IG 콘텐츠 data'!$A$1:$AJ$25,MATCH('IG 신규발행'!$A31,'IG 콘텐츠 data'!$S:$S,0),MATCH(N$3,'IG 콘텐츠 data'!$A$1:$Q$1,0)),"")</f>
        <v/>
      </c>
      <c r="O31" s="197" t="str">
        <f t="shared" si="0"/>
        <v/>
      </c>
      <c r="P31" s="198" t="str">
        <f t="shared" si="1"/>
        <v/>
      </c>
      <c r="R31" s="137" t="e">
        <f t="shared" si="2"/>
        <v>#VALUE!</v>
      </c>
      <c r="S31" s="137" t="e">
        <f t="shared" si="3"/>
        <v>#VALUE!</v>
      </c>
      <c r="W31" s="152"/>
    </row>
    <row r="32" spans="1:23" ht="17.45" customHeight="1">
      <c r="A32" s="209">
        <v>29</v>
      </c>
      <c r="B32" s="195" t="str">
        <f>IFERROR(INDEX('IG 콘텐츠 data'!R:R,MATCH('IG 신규발행'!A32,'IG 콘텐츠 data'!S:S,0)),"")</f>
        <v/>
      </c>
      <c r="C32" s="197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197" t="str">
        <f>IFERROR(INDEX('IG 콘텐츠 data'!$A$1:$AJ$25,MATCH('IG 신규발행'!$A32,'IG 콘텐츠 data'!$S:$S,0),MATCH(D$3,'IG 콘텐츠 data'!$A$1:$Q$1,0)),"")</f>
        <v/>
      </c>
      <c r="E32" s="197" t="str">
        <f>IFERROR(INDEX('IG 콘텐츠 data'!$A$1:$AJ$25,MATCH('IG 신규발행'!$A32,'IG 콘텐츠 data'!$S:$S,0),MATCH(E$3,'IG 콘텐츠 data'!$A$1:$Q$1,0)),"")</f>
        <v/>
      </c>
      <c r="F32" s="197" t="str">
        <f>IFERROR(INDEX('IG 콘텐츠 data'!$A$1:$AJ$25,MATCH('IG 신규발행'!$A32,'IG 콘텐츠 data'!$S:$S,0),MATCH(F$3,'IG 콘텐츠 data'!$A$1:$Q$1,0)),"")</f>
        <v/>
      </c>
      <c r="G32" s="197" t="str">
        <f>IFERROR(INDEX('IG 콘텐츠 data'!$A$1:$AJ$25,MATCH('IG 신규발행'!$A32,'IG 콘텐츠 data'!$S:$S,0),MATCH(G$3,'IG 콘텐츠 data'!$A$1:$Q$1,0)),"")</f>
        <v/>
      </c>
      <c r="H32" s="197" t="str">
        <f>IFERROR(INDEX('IG 콘텐츠 data'!$A$1:$AJ$25,MATCH('IG 신규발행'!$A32,'IG 콘텐츠 data'!$S:$S,0),MATCH(H$3,'IG 콘텐츠 data'!$A$1:$Q$1,0)),"")</f>
        <v/>
      </c>
      <c r="I32" s="197" t="str">
        <f>IFERROR(INDEX('IG 콘텐츠 data'!$A$1:$AJ$25,MATCH('IG 신규발행'!$A32,'IG 콘텐츠 data'!$S:$S,0),MATCH(I$3,'IG 콘텐츠 data'!$A$1:$Q$1,0)),"")</f>
        <v/>
      </c>
      <c r="J32" s="197" t="str">
        <f>IFERROR(INDEX('IG 콘텐츠 data'!$A$1:$AJ$25,MATCH('IG 신규발행'!$A32,'IG 콘텐츠 data'!$S:$S,0),MATCH(J$3,'IG 콘텐츠 data'!$A$1:$Q$1,0)),"")</f>
        <v/>
      </c>
      <c r="K32" s="210" t="str">
        <f>IFERROR(INDEX('IG 콘텐츠 data'!$A$1:$AJ$25,MATCH('IG 신규발행'!$A32,'IG 콘텐츠 data'!$S:$S,0),MATCH(K$3,'IG 콘텐츠 data'!$A$1:$Q$1,0)),"")</f>
        <v/>
      </c>
      <c r="L32" s="197" t="str">
        <f>IFERROR(INDEX('IG 콘텐츠 data'!$A$1:$AJ$25,MATCH('IG 신규발행'!$A32,'IG 콘텐츠 data'!$S:$S,0),MATCH(L$3,'IG 콘텐츠 data'!$A$1:$Q$1,0)),"")</f>
        <v/>
      </c>
      <c r="M32" s="197" t="str">
        <f>IFERROR(INDEX('IG 콘텐츠 data'!$A$1:$AJ$25,MATCH('IG 신규발행'!$A32,'IG 콘텐츠 data'!$S:$S,0),MATCH(M$3,'IG 콘텐츠 data'!$A$1:$Q$1,0)),"")</f>
        <v/>
      </c>
      <c r="N32" s="197" t="str">
        <f>IFERROR(INDEX('IG 콘텐츠 data'!$A$1:$AJ$25,MATCH('IG 신규발행'!$A32,'IG 콘텐츠 data'!$S:$S,0),MATCH(N$3,'IG 콘텐츠 data'!$A$1:$Q$1,0)),"")</f>
        <v/>
      </c>
      <c r="O32" s="197" t="str">
        <f t="shared" si="0"/>
        <v/>
      </c>
      <c r="P32" s="198" t="str">
        <f t="shared" si="1"/>
        <v/>
      </c>
      <c r="R32" s="137" t="e">
        <f t="shared" si="2"/>
        <v>#VALUE!</v>
      </c>
      <c r="S32" s="137" t="e">
        <f t="shared" si="3"/>
        <v>#VALUE!</v>
      </c>
      <c r="W32" s="152"/>
    </row>
    <row r="33" spans="1:23" ht="17.45" customHeight="1">
      <c r="A33" s="209">
        <v>30</v>
      </c>
      <c r="B33" s="195" t="str">
        <f>IFERROR(INDEX('IG 콘텐츠 data'!R:R,MATCH('IG 신규발행'!A33,'IG 콘텐츠 data'!S:S,0)),"")</f>
        <v/>
      </c>
      <c r="C33" s="197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197" t="str">
        <f>IFERROR(INDEX('IG 콘텐츠 data'!$A$1:$AJ$25,MATCH('IG 신규발행'!$A33,'IG 콘텐츠 data'!$S:$S,0),MATCH(D$3,'IG 콘텐츠 data'!$A$1:$Q$1,0)),"")</f>
        <v/>
      </c>
      <c r="E33" s="197" t="str">
        <f>IFERROR(INDEX('IG 콘텐츠 data'!$A$1:$AJ$25,MATCH('IG 신규발행'!$A33,'IG 콘텐츠 data'!$S:$S,0),MATCH(E$3,'IG 콘텐츠 data'!$A$1:$Q$1,0)),"")</f>
        <v/>
      </c>
      <c r="F33" s="197" t="str">
        <f>IFERROR(INDEX('IG 콘텐츠 data'!$A$1:$AJ$25,MATCH('IG 신규발행'!$A33,'IG 콘텐츠 data'!$S:$S,0),MATCH(F$3,'IG 콘텐츠 data'!$A$1:$Q$1,0)),"")</f>
        <v/>
      </c>
      <c r="G33" s="197" t="str">
        <f>IFERROR(INDEX('IG 콘텐츠 data'!$A$1:$AJ$25,MATCH('IG 신규발행'!$A33,'IG 콘텐츠 data'!$S:$S,0),MATCH(G$3,'IG 콘텐츠 data'!$A$1:$Q$1,0)),"")</f>
        <v/>
      </c>
      <c r="H33" s="197" t="str">
        <f>IFERROR(INDEX('IG 콘텐츠 data'!$A$1:$AJ$25,MATCH('IG 신규발행'!$A33,'IG 콘텐츠 data'!$S:$S,0),MATCH(H$3,'IG 콘텐츠 data'!$A$1:$Q$1,0)),"")</f>
        <v/>
      </c>
      <c r="I33" s="197" t="str">
        <f>IFERROR(INDEX('IG 콘텐츠 data'!$A$1:$AJ$25,MATCH('IG 신규발행'!$A33,'IG 콘텐츠 data'!$S:$S,0),MATCH(I$3,'IG 콘텐츠 data'!$A$1:$Q$1,0)),"")</f>
        <v/>
      </c>
      <c r="J33" s="197" t="str">
        <f>IFERROR(INDEX('IG 콘텐츠 data'!$A$1:$AJ$25,MATCH('IG 신규발행'!$A33,'IG 콘텐츠 data'!$S:$S,0),MATCH(J$3,'IG 콘텐츠 data'!$A$1:$Q$1,0)),"")</f>
        <v/>
      </c>
      <c r="K33" s="210" t="str">
        <f>IFERROR(INDEX('IG 콘텐츠 data'!$A$1:$AJ$25,MATCH('IG 신규발행'!$A33,'IG 콘텐츠 data'!$S:$S,0),MATCH(K$3,'IG 콘텐츠 data'!$A$1:$Q$1,0)),"")</f>
        <v/>
      </c>
      <c r="L33" s="197" t="str">
        <f>IFERROR(INDEX('IG 콘텐츠 data'!$A$1:$AJ$25,MATCH('IG 신규발행'!$A33,'IG 콘텐츠 data'!$S:$S,0),MATCH(L$3,'IG 콘텐츠 data'!$A$1:$Q$1,0)),"")</f>
        <v/>
      </c>
      <c r="M33" s="197" t="str">
        <f>IFERROR(INDEX('IG 콘텐츠 data'!$A$1:$AJ$25,MATCH('IG 신규발행'!$A33,'IG 콘텐츠 data'!$S:$S,0),MATCH(M$3,'IG 콘텐츠 data'!$A$1:$Q$1,0)),"")</f>
        <v/>
      </c>
      <c r="N33" s="197" t="str">
        <f>IFERROR(INDEX('IG 콘텐츠 data'!$A$1:$AJ$25,MATCH('IG 신규발행'!$A33,'IG 콘텐츠 data'!$S:$S,0),MATCH(N$3,'IG 콘텐츠 data'!$A$1:$Q$1,0)),"")</f>
        <v/>
      </c>
      <c r="O33" s="197" t="str">
        <f t="shared" si="0"/>
        <v/>
      </c>
      <c r="P33" s="198" t="str">
        <f t="shared" si="1"/>
        <v/>
      </c>
      <c r="R33" s="137" t="e">
        <f t="shared" si="2"/>
        <v>#VALUE!</v>
      </c>
      <c r="S33" s="137" t="e">
        <f t="shared" si="3"/>
        <v>#VALUE!</v>
      </c>
      <c r="W33" s="152"/>
    </row>
    <row r="34" spans="1:23" ht="17.45" customHeight="1">
      <c r="A34" s="209">
        <v>31</v>
      </c>
      <c r="B34" s="195" t="str">
        <f>IFERROR(INDEX('IG 콘텐츠 data'!R:R,MATCH('IG 신규발행'!A34,'IG 콘텐츠 data'!S:S,0)),"")</f>
        <v/>
      </c>
      <c r="C34" s="197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197" t="str">
        <f>IFERROR(INDEX('IG 콘텐츠 data'!$A$1:$AJ$25,MATCH('IG 신규발행'!$A34,'IG 콘텐츠 data'!$S:$S,0),MATCH(D$3,'IG 콘텐츠 data'!$A$1:$Q$1,0)),"")</f>
        <v/>
      </c>
      <c r="E34" s="197" t="str">
        <f>IFERROR(INDEX('IG 콘텐츠 data'!$A$1:$AJ$25,MATCH('IG 신규발행'!$A34,'IG 콘텐츠 data'!$S:$S,0),MATCH(E$3,'IG 콘텐츠 data'!$A$1:$Q$1,0)),"")</f>
        <v/>
      </c>
      <c r="F34" s="197" t="str">
        <f>IFERROR(INDEX('IG 콘텐츠 data'!$A$1:$AJ$25,MATCH('IG 신규발행'!$A34,'IG 콘텐츠 data'!$S:$S,0),MATCH(F$3,'IG 콘텐츠 data'!$A$1:$Q$1,0)),"")</f>
        <v/>
      </c>
      <c r="G34" s="197" t="str">
        <f>IFERROR(INDEX('IG 콘텐츠 data'!$A$1:$AJ$25,MATCH('IG 신규발행'!$A34,'IG 콘텐츠 data'!$S:$S,0),MATCH(G$3,'IG 콘텐츠 data'!$A$1:$Q$1,0)),"")</f>
        <v/>
      </c>
      <c r="H34" s="197" t="str">
        <f>IFERROR(INDEX('IG 콘텐츠 data'!$A$1:$AJ$25,MATCH('IG 신규발행'!$A34,'IG 콘텐츠 data'!$S:$S,0),MATCH(H$3,'IG 콘텐츠 data'!$A$1:$Q$1,0)),"")</f>
        <v/>
      </c>
      <c r="I34" s="197" t="str">
        <f>IFERROR(INDEX('IG 콘텐츠 data'!$A$1:$AJ$25,MATCH('IG 신규발행'!$A34,'IG 콘텐츠 data'!$S:$S,0),MATCH(I$3,'IG 콘텐츠 data'!$A$1:$Q$1,0)),"")</f>
        <v/>
      </c>
      <c r="J34" s="197" t="str">
        <f>IFERROR(INDEX('IG 콘텐츠 data'!$A$1:$AJ$25,MATCH('IG 신규발행'!$A34,'IG 콘텐츠 data'!$S:$S,0),MATCH(J$3,'IG 콘텐츠 data'!$A$1:$Q$1,0)),"")</f>
        <v/>
      </c>
      <c r="K34" s="210" t="str">
        <f>IFERROR(INDEX('IG 콘텐츠 data'!$A$1:$AJ$25,MATCH('IG 신규발행'!$A34,'IG 콘텐츠 data'!$S:$S,0),MATCH(K$3,'IG 콘텐츠 data'!$A$1:$Q$1,0)),"")</f>
        <v/>
      </c>
      <c r="L34" s="197" t="str">
        <f>IFERROR(INDEX('IG 콘텐츠 data'!$A$1:$AJ$25,MATCH('IG 신규발행'!$A34,'IG 콘텐츠 data'!$S:$S,0),MATCH(L$3,'IG 콘텐츠 data'!$A$1:$Q$1,0)),"")</f>
        <v/>
      </c>
      <c r="M34" s="197" t="str">
        <f>IFERROR(INDEX('IG 콘텐츠 data'!$A$1:$AJ$25,MATCH('IG 신규발행'!$A34,'IG 콘텐츠 data'!$S:$S,0),MATCH(M$3,'IG 콘텐츠 data'!$A$1:$Q$1,0)),"")</f>
        <v/>
      </c>
      <c r="N34" s="197" t="str">
        <f>IFERROR(INDEX('IG 콘텐츠 data'!$A$1:$AJ$25,MATCH('IG 신규발행'!$A34,'IG 콘텐츠 data'!$S:$S,0),MATCH(N$3,'IG 콘텐츠 data'!$A$1:$Q$1,0)),"")</f>
        <v/>
      </c>
      <c r="O34" s="197" t="str">
        <f t="shared" si="0"/>
        <v/>
      </c>
      <c r="P34" s="198" t="str">
        <f t="shared" si="1"/>
        <v/>
      </c>
      <c r="R34" s="137" t="e">
        <f t="shared" si="2"/>
        <v>#VALUE!</v>
      </c>
      <c r="S34" s="137" t="e">
        <f t="shared" si="3"/>
        <v>#VALUE!</v>
      </c>
      <c r="W34" s="152"/>
    </row>
    <row r="35" spans="1:23" ht="17.45" customHeight="1">
      <c r="A35" s="209">
        <v>32</v>
      </c>
      <c r="B35" s="195" t="str">
        <f>IFERROR(INDEX('IG 콘텐츠 data'!R:R,MATCH('IG 신규발행'!A35,'IG 콘텐츠 data'!S:S,0)),"")</f>
        <v/>
      </c>
      <c r="C35" s="197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197" t="str">
        <f>IFERROR(INDEX('IG 콘텐츠 data'!$A$1:$AJ$25,MATCH('IG 신규발행'!$A35,'IG 콘텐츠 data'!$S:$S,0),MATCH(D$3,'IG 콘텐츠 data'!$A$1:$Q$1,0)),"")</f>
        <v/>
      </c>
      <c r="E35" s="197" t="str">
        <f>IFERROR(INDEX('IG 콘텐츠 data'!$A$1:$AJ$25,MATCH('IG 신규발행'!$A35,'IG 콘텐츠 data'!$S:$S,0),MATCH(E$3,'IG 콘텐츠 data'!$A$1:$Q$1,0)),"")</f>
        <v/>
      </c>
      <c r="F35" s="197" t="str">
        <f>IFERROR(INDEX('IG 콘텐츠 data'!$A$1:$AJ$25,MATCH('IG 신규발행'!$A35,'IG 콘텐츠 data'!$S:$S,0),MATCH(F$3,'IG 콘텐츠 data'!$A$1:$Q$1,0)),"")</f>
        <v/>
      </c>
      <c r="G35" s="197" t="str">
        <f>IFERROR(INDEX('IG 콘텐츠 data'!$A$1:$AJ$25,MATCH('IG 신규발행'!$A35,'IG 콘텐츠 data'!$S:$S,0),MATCH(G$3,'IG 콘텐츠 data'!$A$1:$Q$1,0)),"")</f>
        <v/>
      </c>
      <c r="H35" s="197" t="str">
        <f>IFERROR(INDEX('IG 콘텐츠 data'!$A$1:$AJ$25,MATCH('IG 신규발행'!$A35,'IG 콘텐츠 data'!$S:$S,0),MATCH(H$3,'IG 콘텐츠 data'!$A$1:$Q$1,0)),"")</f>
        <v/>
      </c>
      <c r="I35" s="197" t="str">
        <f>IFERROR(INDEX('IG 콘텐츠 data'!$A$1:$AJ$25,MATCH('IG 신규발행'!$A35,'IG 콘텐츠 data'!$S:$S,0),MATCH(I$3,'IG 콘텐츠 data'!$A$1:$Q$1,0)),"")</f>
        <v/>
      </c>
      <c r="J35" s="197" t="str">
        <f>IFERROR(INDEX('IG 콘텐츠 data'!$A$1:$AJ$25,MATCH('IG 신규발행'!$A35,'IG 콘텐츠 data'!$S:$S,0),MATCH(J$3,'IG 콘텐츠 data'!$A$1:$Q$1,0)),"")</f>
        <v/>
      </c>
      <c r="K35" s="210" t="str">
        <f>IFERROR(INDEX('IG 콘텐츠 data'!$A$1:$AJ$25,MATCH('IG 신규발행'!$A35,'IG 콘텐츠 data'!$S:$S,0),MATCH(K$3,'IG 콘텐츠 data'!$A$1:$Q$1,0)),"")</f>
        <v/>
      </c>
      <c r="L35" s="197" t="str">
        <f>IFERROR(INDEX('IG 콘텐츠 data'!$A$1:$AJ$25,MATCH('IG 신규발행'!$A35,'IG 콘텐츠 data'!$S:$S,0),MATCH(L$3,'IG 콘텐츠 data'!$A$1:$Q$1,0)),"")</f>
        <v/>
      </c>
      <c r="M35" s="197" t="str">
        <f>IFERROR(INDEX('IG 콘텐츠 data'!$A$1:$AJ$25,MATCH('IG 신규발행'!$A35,'IG 콘텐츠 data'!$S:$S,0),MATCH(M$3,'IG 콘텐츠 data'!$A$1:$Q$1,0)),"")</f>
        <v/>
      </c>
      <c r="N35" s="197" t="str">
        <f>IFERROR(INDEX('IG 콘텐츠 data'!$A$1:$AJ$25,MATCH('IG 신규발행'!$A35,'IG 콘텐츠 data'!$S:$S,0),MATCH(N$3,'IG 콘텐츠 data'!$A$1:$Q$1,0)),"")</f>
        <v/>
      </c>
      <c r="O35" s="197" t="str">
        <f t="shared" si="0"/>
        <v/>
      </c>
      <c r="P35" s="198" t="str">
        <f t="shared" si="1"/>
        <v/>
      </c>
      <c r="R35" s="137" t="e">
        <f t="shared" si="2"/>
        <v>#VALUE!</v>
      </c>
      <c r="S35" s="137" t="e">
        <f t="shared" si="3"/>
        <v>#VALUE!</v>
      </c>
      <c r="W35" s="152"/>
    </row>
    <row r="36" spans="1:23" ht="17.45" customHeight="1">
      <c r="A36" s="209">
        <v>33</v>
      </c>
      <c r="B36" s="195" t="str">
        <f>IFERROR(INDEX('IG 콘텐츠 data'!R:R,MATCH('IG 신규발행'!A36,'IG 콘텐츠 data'!S:S,0)),"")</f>
        <v/>
      </c>
      <c r="C36" s="197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197" t="str">
        <f>IFERROR(INDEX('IG 콘텐츠 data'!$A$1:$AJ$25,MATCH('IG 신규발행'!$A36,'IG 콘텐츠 data'!$S:$S,0),MATCH(D$3,'IG 콘텐츠 data'!$A$1:$Q$1,0)),"")</f>
        <v/>
      </c>
      <c r="E36" s="197" t="str">
        <f>IFERROR(INDEX('IG 콘텐츠 data'!$A$1:$AJ$25,MATCH('IG 신규발행'!$A36,'IG 콘텐츠 data'!$S:$S,0),MATCH(E$3,'IG 콘텐츠 data'!$A$1:$Q$1,0)),"")</f>
        <v/>
      </c>
      <c r="F36" s="197" t="str">
        <f>IFERROR(INDEX('IG 콘텐츠 data'!$A$1:$AJ$25,MATCH('IG 신규발행'!$A36,'IG 콘텐츠 data'!$S:$S,0),MATCH(F$3,'IG 콘텐츠 data'!$A$1:$Q$1,0)),"")</f>
        <v/>
      </c>
      <c r="G36" s="197" t="str">
        <f>IFERROR(INDEX('IG 콘텐츠 data'!$A$1:$AJ$25,MATCH('IG 신규발행'!$A36,'IG 콘텐츠 data'!$S:$S,0),MATCH(G$3,'IG 콘텐츠 data'!$A$1:$Q$1,0)),"")</f>
        <v/>
      </c>
      <c r="H36" s="197" t="str">
        <f>IFERROR(INDEX('IG 콘텐츠 data'!$A$1:$AJ$25,MATCH('IG 신규발행'!$A36,'IG 콘텐츠 data'!$S:$S,0),MATCH(H$3,'IG 콘텐츠 data'!$A$1:$Q$1,0)),"")</f>
        <v/>
      </c>
      <c r="I36" s="197" t="str">
        <f>IFERROR(INDEX('IG 콘텐츠 data'!$A$1:$AJ$25,MATCH('IG 신규발행'!$A36,'IG 콘텐츠 data'!$S:$S,0),MATCH(I$3,'IG 콘텐츠 data'!$A$1:$Q$1,0)),"")</f>
        <v/>
      </c>
      <c r="J36" s="197" t="str">
        <f>IFERROR(INDEX('IG 콘텐츠 data'!$A$1:$AJ$25,MATCH('IG 신규발행'!$A36,'IG 콘텐츠 data'!$S:$S,0),MATCH(J$3,'IG 콘텐츠 data'!$A$1:$Q$1,0)),"")</f>
        <v/>
      </c>
      <c r="K36" s="210" t="str">
        <f>IFERROR(INDEX('IG 콘텐츠 data'!$A$1:$AJ$25,MATCH('IG 신규발행'!$A36,'IG 콘텐츠 data'!$S:$S,0),MATCH(K$3,'IG 콘텐츠 data'!$A$1:$Q$1,0)),"")</f>
        <v/>
      </c>
      <c r="L36" s="197" t="str">
        <f>IFERROR(INDEX('IG 콘텐츠 data'!$A$1:$AJ$25,MATCH('IG 신규발행'!$A36,'IG 콘텐츠 data'!$S:$S,0),MATCH(L$3,'IG 콘텐츠 data'!$A$1:$Q$1,0)),"")</f>
        <v/>
      </c>
      <c r="M36" s="197" t="str">
        <f>IFERROR(INDEX('IG 콘텐츠 data'!$A$1:$AJ$25,MATCH('IG 신규발행'!$A36,'IG 콘텐츠 data'!$S:$S,0),MATCH(M$3,'IG 콘텐츠 data'!$A$1:$Q$1,0)),"")</f>
        <v/>
      </c>
      <c r="N36" s="197" t="str">
        <f>IFERROR(INDEX('IG 콘텐츠 data'!$A$1:$AJ$25,MATCH('IG 신규발행'!$A36,'IG 콘텐츠 data'!$S:$S,0),MATCH(N$3,'IG 콘텐츠 data'!$A$1:$Q$1,0)),"")</f>
        <v/>
      </c>
      <c r="O36" s="197" t="str">
        <f t="shared" si="0"/>
        <v/>
      </c>
      <c r="P36" s="198" t="str">
        <f t="shared" si="1"/>
        <v/>
      </c>
      <c r="R36" s="137" t="e">
        <f t="shared" si="2"/>
        <v>#VALUE!</v>
      </c>
      <c r="S36" s="137" t="e">
        <f t="shared" si="3"/>
        <v>#VALUE!</v>
      </c>
      <c r="W36" s="152"/>
    </row>
    <row r="37" spans="1:23" ht="17.45" customHeight="1">
      <c r="A37" s="209">
        <v>34</v>
      </c>
      <c r="B37" s="195" t="str">
        <f>IFERROR(INDEX('IG 콘텐츠 data'!R:R,MATCH('IG 신규발행'!A37,'IG 콘텐츠 data'!S:S,0)),"")</f>
        <v/>
      </c>
      <c r="C37" s="197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197" t="str">
        <f>IFERROR(INDEX('IG 콘텐츠 data'!$A$1:$AJ$25,MATCH('IG 신규발행'!$A37,'IG 콘텐츠 data'!$S:$S,0),MATCH(D$3,'IG 콘텐츠 data'!$A$1:$Q$1,0)),"")</f>
        <v/>
      </c>
      <c r="E37" s="197" t="str">
        <f>IFERROR(INDEX('IG 콘텐츠 data'!$A$1:$AJ$25,MATCH('IG 신규발행'!$A37,'IG 콘텐츠 data'!$S:$S,0),MATCH(E$3,'IG 콘텐츠 data'!$A$1:$Q$1,0)),"")</f>
        <v/>
      </c>
      <c r="F37" s="197" t="str">
        <f>IFERROR(INDEX('IG 콘텐츠 data'!$A$1:$AJ$25,MATCH('IG 신규발행'!$A37,'IG 콘텐츠 data'!$S:$S,0),MATCH(F$3,'IG 콘텐츠 data'!$A$1:$Q$1,0)),"")</f>
        <v/>
      </c>
      <c r="G37" s="197" t="str">
        <f>IFERROR(INDEX('IG 콘텐츠 data'!$A$1:$AJ$25,MATCH('IG 신규발행'!$A37,'IG 콘텐츠 data'!$S:$S,0),MATCH(G$3,'IG 콘텐츠 data'!$A$1:$Q$1,0)),"")</f>
        <v/>
      </c>
      <c r="H37" s="197" t="str">
        <f>IFERROR(INDEX('IG 콘텐츠 data'!$A$1:$AJ$25,MATCH('IG 신규발행'!$A37,'IG 콘텐츠 data'!$S:$S,0),MATCH(H$3,'IG 콘텐츠 data'!$A$1:$Q$1,0)),"")</f>
        <v/>
      </c>
      <c r="I37" s="197" t="str">
        <f>IFERROR(INDEX('IG 콘텐츠 data'!$A$1:$AJ$25,MATCH('IG 신규발행'!$A37,'IG 콘텐츠 data'!$S:$S,0),MATCH(I$3,'IG 콘텐츠 data'!$A$1:$Q$1,0)),"")</f>
        <v/>
      </c>
      <c r="J37" s="197" t="str">
        <f>IFERROR(INDEX('IG 콘텐츠 data'!$A$1:$AJ$25,MATCH('IG 신규발행'!$A37,'IG 콘텐츠 data'!$S:$S,0),MATCH(J$3,'IG 콘텐츠 data'!$A$1:$Q$1,0)),"")</f>
        <v/>
      </c>
      <c r="K37" s="210" t="str">
        <f>IFERROR(INDEX('IG 콘텐츠 data'!$A$1:$AJ$25,MATCH('IG 신규발행'!$A37,'IG 콘텐츠 data'!$S:$S,0),MATCH(K$3,'IG 콘텐츠 data'!$A$1:$Q$1,0)),"")</f>
        <v/>
      </c>
      <c r="L37" s="197" t="str">
        <f>IFERROR(INDEX('IG 콘텐츠 data'!$A$1:$AJ$25,MATCH('IG 신규발행'!$A37,'IG 콘텐츠 data'!$S:$S,0),MATCH(L$3,'IG 콘텐츠 data'!$A$1:$Q$1,0)),"")</f>
        <v/>
      </c>
      <c r="M37" s="197" t="str">
        <f>IFERROR(INDEX('IG 콘텐츠 data'!$A$1:$AJ$25,MATCH('IG 신규발행'!$A37,'IG 콘텐츠 data'!$S:$S,0),MATCH(M$3,'IG 콘텐츠 data'!$A$1:$Q$1,0)),"")</f>
        <v/>
      </c>
      <c r="N37" s="197" t="str">
        <f>IFERROR(INDEX('IG 콘텐츠 data'!$A$1:$AJ$25,MATCH('IG 신규발행'!$A37,'IG 콘텐츠 data'!$S:$S,0),MATCH(N$3,'IG 콘텐츠 data'!$A$1:$Q$1,0)),"")</f>
        <v/>
      </c>
      <c r="O37" s="197" t="str">
        <f t="shared" si="0"/>
        <v/>
      </c>
      <c r="P37" s="198" t="str">
        <f t="shared" si="1"/>
        <v/>
      </c>
      <c r="R37" s="137" t="e">
        <f t="shared" si="2"/>
        <v>#VALUE!</v>
      </c>
      <c r="S37" s="137" t="e">
        <f t="shared" si="3"/>
        <v>#VALUE!</v>
      </c>
      <c r="W37" s="152"/>
    </row>
    <row r="38" spans="1:23" ht="17.45" customHeight="1">
      <c r="A38" s="209">
        <v>35</v>
      </c>
      <c r="B38" s="195" t="str">
        <f>IFERROR(INDEX('IG 콘텐츠 data'!R:R,MATCH('IG 신규발행'!A38,'IG 콘텐츠 data'!S:S,0)),"")</f>
        <v/>
      </c>
      <c r="C38" s="197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197" t="str">
        <f>IFERROR(INDEX('IG 콘텐츠 data'!$A$1:$AJ$25,MATCH('IG 신규발행'!$A38,'IG 콘텐츠 data'!$S:$S,0),MATCH(D$3,'IG 콘텐츠 data'!$A$1:$Q$1,0)),"")</f>
        <v/>
      </c>
      <c r="E38" s="197" t="str">
        <f>IFERROR(INDEX('IG 콘텐츠 data'!$A$1:$AJ$25,MATCH('IG 신규발행'!$A38,'IG 콘텐츠 data'!$S:$S,0),MATCH(E$3,'IG 콘텐츠 data'!$A$1:$Q$1,0)),"")</f>
        <v/>
      </c>
      <c r="F38" s="197" t="str">
        <f>IFERROR(INDEX('IG 콘텐츠 data'!$A$1:$AJ$25,MATCH('IG 신규발행'!$A38,'IG 콘텐츠 data'!$S:$S,0),MATCH(F$3,'IG 콘텐츠 data'!$A$1:$Q$1,0)),"")</f>
        <v/>
      </c>
      <c r="G38" s="197" t="str">
        <f>IFERROR(INDEX('IG 콘텐츠 data'!$A$1:$AJ$25,MATCH('IG 신규발행'!$A38,'IG 콘텐츠 data'!$S:$S,0),MATCH(G$3,'IG 콘텐츠 data'!$A$1:$Q$1,0)),"")</f>
        <v/>
      </c>
      <c r="H38" s="197" t="str">
        <f>IFERROR(INDEX('IG 콘텐츠 data'!$A$1:$AJ$25,MATCH('IG 신규발행'!$A38,'IG 콘텐츠 data'!$S:$S,0),MATCH(H$3,'IG 콘텐츠 data'!$A$1:$Q$1,0)),"")</f>
        <v/>
      </c>
      <c r="I38" s="197" t="str">
        <f>IFERROR(INDEX('IG 콘텐츠 data'!$A$1:$AJ$25,MATCH('IG 신규발행'!$A38,'IG 콘텐츠 data'!$S:$S,0),MATCH(I$3,'IG 콘텐츠 data'!$A$1:$Q$1,0)),"")</f>
        <v/>
      </c>
      <c r="J38" s="197" t="str">
        <f>IFERROR(INDEX('IG 콘텐츠 data'!$A$1:$AJ$25,MATCH('IG 신규발행'!$A38,'IG 콘텐츠 data'!$S:$S,0),MATCH(J$3,'IG 콘텐츠 data'!$A$1:$Q$1,0)),"")</f>
        <v/>
      </c>
      <c r="K38" s="210" t="str">
        <f>IFERROR(INDEX('IG 콘텐츠 data'!$A$1:$AJ$25,MATCH('IG 신규발행'!$A38,'IG 콘텐츠 data'!$S:$S,0),MATCH(K$3,'IG 콘텐츠 data'!$A$1:$Q$1,0)),"")</f>
        <v/>
      </c>
      <c r="L38" s="197" t="str">
        <f>IFERROR(INDEX('IG 콘텐츠 data'!$A$1:$AJ$25,MATCH('IG 신규발행'!$A38,'IG 콘텐츠 data'!$S:$S,0),MATCH(L$3,'IG 콘텐츠 data'!$A$1:$Q$1,0)),"")</f>
        <v/>
      </c>
      <c r="M38" s="197" t="str">
        <f>IFERROR(INDEX('IG 콘텐츠 data'!$A$1:$AJ$25,MATCH('IG 신규발행'!$A38,'IG 콘텐츠 data'!$S:$S,0),MATCH(M$3,'IG 콘텐츠 data'!$A$1:$Q$1,0)),"")</f>
        <v/>
      </c>
      <c r="N38" s="197" t="str">
        <f>IFERROR(INDEX('IG 콘텐츠 data'!$A$1:$AJ$25,MATCH('IG 신규발행'!$A38,'IG 콘텐츠 data'!$S:$S,0),MATCH(N$3,'IG 콘텐츠 data'!$A$1:$Q$1,0)),"")</f>
        <v/>
      </c>
      <c r="O38" s="197" t="str">
        <f t="shared" si="0"/>
        <v/>
      </c>
      <c r="P38" s="198" t="str">
        <f t="shared" si="1"/>
        <v/>
      </c>
      <c r="R38" s="137" t="e">
        <f t="shared" si="2"/>
        <v>#VALUE!</v>
      </c>
      <c r="S38" s="137" t="e">
        <f t="shared" si="3"/>
        <v>#VALUE!</v>
      </c>
      <c r="W38" s="152"/>
    </row>
    <row r="39" spans="1:23" ht="17.45" customHeight="1">
      <c r="A39" s="209">
        <v>36</v>
      </c>
      <c r="B39" s="195" t="str">
        <f>IFERROR(INDEX('IG 콘텐츠 data'!R:R,MATCH('IG 신규발행'!A39,'IG 콘텐츠 data'!S:S,0)),"")</f>
        <v/>
      </c>
      <c r="C39" s="197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197" t="str">
        <f>IFERROR(INDEX('IG 콘텐츠 data'!$A$1:$AJ$25,MATCH('IG 신규발행'!$A39,'IG 콘텐츠 data'!$S:$S,0),MATCH(D$3,'IG 콘텐츠 data'!$A$1:$Q$1,0)),"")</f>
        <v/>
      </c>
      <c r="E39" s="197" t="str">
        <f>IFERROR(INDEX('IG 콘텐츠 data'!$A$1:$AJ$25,MATCH('IG 신규발행'!$A39,'IG 콘텐츠 data'!$S:$S,0),MATCH(E$3,'IG 콘텐츠 data'!$A$1:$Q$1,0)),"")</f>
        <v/>
      </c>
      <c r="F39" s="197" t="str">
        <f>IFERROR(INDEX('IG 콘텐츠 data'!$A$1:$AJ$25,MATCH('IG 신규발행'!$A39,'IG 콘텐츠 data'!$S:$S,0),MATCH(F$3,'IG 콘텐츠 data'!$A$1:$Q$1,0)),"")</f>
        <v/>
      </c>
      <c r="G39" s="197" t="str">
        <f>IFERROR(INDEX('IG 콘텐츠 data'!$A$1:$AJ$25,MATCH('IG 신규발행'!$A39,'IG 콘텐츠 data'!$S:$S,0),MATCH(G$3,'IG 콘텐츠 data'!$A$1:$Q$1,0)),"")</f>
        <v/>
      </c>
      <c r="H39" s="197" t="str">
        <f>IFERROR(INDEX('IG 콘텐츠 data'!$A$1:$AJ$25,MATCH('IG 신규발행'!$A39,'IG 콘텐츠 data'!$S:$S,0),MATCH(H$3,'IG 콘텐츠 data'!$A$1:$Q$1,0)),"")</f>
        <v/>
      </c>
      <c r="I39" s="197" t="str">
        <f>IFERROR(INDEX('IG 콘텐츠 data'!$A$1:$AJ$25,MATCH('IG 신규발행'!$A39,'IG 콘텐츠 data'!$S:$S,0),MATCH(I$3,'IG 콘텐츠 data'!$A$1:$Q$1,0)),"")</f>
        <v/>
      </c>
      <c r="J39" s="197" t="str">
        <f>IFERROR(INDEX('IG 콘텐츠 data'!$A$1:$AJ$25,MATCH('IG 신규발행'!$A39,'IG 콘텐츠 data'!$S:$S,0),MATCH(J$3,'IG 콘텐츠 data'!$A$1:$Q$1,0)),"")</f>
        <v/>
      </c>
      <c r="K39" s="210" t="str">
        <f>IFERROR(INDEX('IG 콘텐츠 data'!$A$1:$AJ$25,MATCH('IG 신규발행'!$A39,'IG 콘텐츠 data'!$S:$S,0),MATCH(K$3,'IG 콘텐츠 data'!$A$1:$Q$1,0)),"")</f>
        <v/>
      </c>
      <c r="L39" s="197" t="str">
        <f>IFERROR(INDEX('IG 콘텐츠 data'!$A$1:$AJ$25,MATCH('IG 신규발행'!$A39,'IG 콘텐츠 data'!$S:$S,0),MATCH(L$3,'IG 콘텐츠 data'!$A$1:$Q$1,0)),"")</f>
        <v/>
      </c>
      <c r="M39" s="197" t="str">
        <f>IFERROR(INDEX('IG 콘텐츠 data'!$A$1:$AJ$25,MATCH('IG 신규발행'!$A39,'IG 콘텐츠 data'!$S:$S,0),MATCH(M$3,'IG 콘텐츠 data'!$A$1:$Q$1,0)),"")</f>
        <v/>
      </c>
      <c r="N39" s="197" t="str">
        <f>IFERROR(INDEX('IG 콘텐츠 data'!$A$1:$AJ$25,MATCH('IG 신규발행'!$A39,'IG 콘텐츠 data'!$S:$S,0),MATCH(N$3,'IG 콘텐츠 data'!$A$1:$Q$1,0)),"")</f>
        <v/>
      </c>
      <c r="O39" s="197" t="str">
        <f t="shared" si="0"/>
        <v/>
      </c>
      <c r="P39" s="198" t="str">
        <f t="shared" si="1"/>
        <v/>
      </c>
      <c r="R39" s="137" t="e">
        <f t="shared" si="2"/>
        <v>#VALUE!</v>
      </c>
      <c r="S39" s="137" t="e">
        <f t="shared" si="3"/>
        <v>#VALUE!</v>
      </c>
      <c r="W39" s="152"/>
    </row>
    <row r="40" spans="1:23" ht="17.45" customHeight="1">
      <c r="A40" s="209">
        <v>37</v>
      </c>
      <c r="B40" s="195" t="str">
        <f>IFERROR(INDEX('IG 콘텐츠 data'!R:R,MATCH('IG 신규발행'!A40,'IG 콘텐츠 data'!S:S,0)),"")</f>
        <v/>
      </c>
      <c r="C40" s="197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197" t="str">
        <f>IFERROR(INDEX('IG 콘텐츠 data'!$A$1:$AJ$25,MATCH('IG 신규발행'!$A40,'IG 콘텐츠 data'!$S:$S,0),MATCH(D$3,'IG 콘텐츠 data'!$A$1:$Q$1,0)),"")</f>
        <v/>
      </c>
      <c r="E40" s="197" t="str">
        <f>IFERROR(INDEX('IG 콘텐츠 data'!$A$1:$AJ$25,MATCH('IG 신규발행'!$A40,'IG 콘텐츠 data'!$S:$S,0),MATCH(E$3,'IG 콘텐츠 data'!$A$1:$Q$1,0)),"")</f>
        <v/>
      </c>
      <c r="F40" s="197" t="str">
        <f>IFERROR(INDEX('IG 콘텐츠 data'!$A$1:$AJ$25,MATCH('IG 신규발행'!$A40,'IG 콘텐츠 data'!$S:$S,0),MATCH(F$3,'IG 콘텐츠 data'!$A$1:$Q$1,0)),"")</f>
        <v/>
      </c>
      <c r="G40" s="197" t="str">
        <f>IFERROR(INDEX('IG 콘텐츠 data'!$A$1:$AJ$25,MATCH('IG 신규발행'!$A40,'IG 콘텐츠 data'!$S:$S,0),MATCH(G$3,'IG 콘텐츠 data'!$A$1:$Q$1,0)),"")</f>
        <v/>
      </c>
      <c r="H40" s="197" t="str">
        <f>IFERROR(INDEX('IG 콘텐츠 data'!$A$1:$AJ$25,MATCH('IG 신규발행'!$A40,'IG 콘텐츠 data'!$S:$S,0),MATCH(H$3,'IG 콘텐츠 data'!$A$1:$Q$1,0)),"")</f>
        <v/>
      </c>
      <c r="I40" s="197" t="str">
        <f>IFERROR(INDEX('IG 콘텐츠 data'!$A$1:$AJ$25,MATCH('IG 신규발행'!$A40,'IG 콘텐츠 data'!$S:$S,0),MATCH(I$3,'IG 콘텐츠 data'!$A$1:$Q$1,0)),"")</f>
        <v/>
      </c>
      <c r="J40" s="197" t="str">
        <f>IFERROR(INDEX('IG 콘텐츠 data'!$A$1:$AJ$25,MATCH('IG 신규발행'!$A40,'IG 콘텐츠 data'!$S:$S,0),MATCH(J$3,'IG 콘텐츠 data'!$A$1:$Q$1,0)),"")</f>
        <v/>
      </c>
      <c r="K40" s="210" t="str">
        <f>IFERROR(INDEX('IG 콘텐츠 data'!$A$1:$AJ$25,MATCH('IG 신규발행'!$A40,'IG 콘텐츠 data'!$S:$S,0),MATCH(K$3,'IG 콘텐츠 data'!$A$1:$Q$1,0)),"")</f>
        <v/>
      </c>
      <c r="L40" s="197" t="str">
        <f>IFERROR(INDEX('IG 콘텐츠 data'!$A$1:$AJ$25,MATCH('IG 신규발행'!$A40,'IG 콘텐츠 data'!$S:$S,0),MATCH(L$3,'IG 콘텐츠 data'!$A$1:$Q$1,0)),"")</f>
        <v/>
      </c>
      <c r="M40" s="197" t="str">
        <f>IFERROR(INDEX('IG 콘텐츠 data'!$A$1:$AJ$25,MATCH('IG 신규발행'!$A40,'IG 콘텐츠 data'!$S:$S,0),MATCH(M$3,'IG 콘텐츠 data'!$A$1:$Q$1,0)),"")</f>
        <v/>
      </c>
      <c r="N40" s="197" t="str">
        <f>IFERROR(INDEX('IG 콘텐츠 data'!$A$1:$AJ$25,MATCH('IG 신규발행'!$A40,'IG 콘텐츠 data'!$S:$S,0),MATCH(N$3,'IG 콘텐츠 data'!$A$1:$Q$1,0)),"")</f>
        <v/>
      </c>
      <c r="O40" s="197" t="str">
        <f t="shared" si="0"/>
        <v/>
      </c>
      <c r="P40" s="198" t="str">
        <f t="shared" si="1"/>
        <v/>
      </c>
      <c r="R40" s="137" t="e">
        <f t="shared" si="2"/>
        <v>#VALUE!</v>
      </c>
      <c r="S40" s="137" t="e">
        <f t="shared" si="3"/>
        <v>#VALUE!</v>
      </c>
      <c r="W40" s="152"/>
    </row>
    <row r="41" spans="1:23" ht="17.45" customHeight="1">
      <c r="A41" s="209">
        <v>38</v>
      </c>
      <c r="B41" s="195" t="str">
        <f>IFERROR(INDEX('IG 콘텐츠 data'!R:R,MATCH('IG 신규발행'!A41,'IG 콘텐츠 data'!S:S,0)),"")</f>
        <v/>
      </c>
      <c r="C41" s="197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197" t="str">
        <f>IFERROR(INDEX('IG 콘텐츠 data'!$A$1:$AJ$25,MATCH('IG 신규발행'!$A41,'IG 콘텐츠 data'!$S:$S,0),MATCH(D$3,'IG 콘텐츠 data'!$A$1:$Q$1,0)),"")</f>
        <v/>
      </c>
      <c r="E41" s="197" t="str">
        <f>IFERROR(INDEX('IG 콘텐츠 data'!$A$1:$AJ$25,MATCH('IG 신규발행'!$A41,'IG 콘텐츠 data'!$S:$S,0),MATCH(E$3,'IG 콘텐츠 data'!$A$1:$Q$1,0)),"")</f>
        <v/>
      </c>
      <c r="F41" s="197" t="str">
        <f>IFERROR(INDEX('IG 콘텐츠 data'!$A$1:$AJ$25,MATCH('IG 신규발행'!$A41,'IG 콘텐츠 data'!$S:$S,0),MATCH(F$3,'IG 콘텐츠 data'!$A$1:$Q$1,0)),"")</f>
        <v/>
      </c>
      <c r="G41" s="197" t="str">
        <f>IFERROR(INDEX('IG 콘텐츠 data'!$A$1:$AJ$25,MATCH('IG 신규발행'!$A41,'IG 콘텐츠 data'!$S:$S,0),MATCH(G$3,'IG 콘텐츠 data'!$A$1:$Q$1,0)),"")</f>
        <v/>
      </c>
      <c r="H41" s="197" t="str">
        <f>IFERROR(INDEX('IG 콘텐츠 data'!$A$1:$AJ$25,MATCH('IG 신규발행'!$A41,'IG 콘텐츠 data'!$S:$S,0),MATCH(H$3,'IG 콘텐츠 data'!$A$1:$Q$1,0)),"")</f>
        <v/>
      </c>
      <c r="I41" s="197" t="str">
        <f>IFERROR(INDEX('IG 콘텐츠 data'!$A$1:$AJ$25,MATCH('IG 신규발행'!$A41,'IG 콘텐츠 data'!$S:$S,0),MATCH(I$3,'IG 콘텐츠 data'!$A$1:$Q$1,0)),"")</f>
        <v/>
      </c>
      <c r="J41" s="197" t="str">
        <f>IFERROR(INDEX('IG 콘텐츠 data'!$A$1:$AJ$25,MATCH('IG 신규발행'!$A41,'IG 콘텐츠 data'!$S:$S,0),MATCH(J$3,'IG 콘텐츠 data'!$A$1:$Q$1,0)),"")</f>
        <v/>
      </c>
      <c r="K41" s="210" t="str">
        <f>IFERROR(INDEX('IG 콘텐츠 data'!$A$1:$AJ$25,MATCH('IG 신규발행'!$A41,'IG 콘텐츠 data'!$S:$S,0),MATCH(K$3,'IG 콘텐츠 data'!$A$1:$Q$1,0)),"")</f>
        <v/>
      </c>
      <c r="L41" s="197" t="str">
        <f>IFERROR(INDEX('IG 콘텐츠 data'!$A$1:$AJ$25,MATCH('IG 신규발행'!$A41,'IG 콘텐츠 data'!$S:$S,0),MATCH(L$3,'IG 콘텐츠 data'!$A$1:$Q$1,0)),"")</f>
        <v/>
      </c>
      <c r="M41" s="197" t="str">
        <f>IFERROR(INDEX('IG 콘텐츠 data'!$A$1:$AJ$25,MATCH('IG 신규발행'!$A41,'IG 콘텐츠 data'!$S:$S,0),MATCH(M$3,'IG 콘텐츠 data'!$A$1:$Q$1,0)),"")</f>
        <v/>
      </c>
      <c r="N41" s="197" t="str">
        <f>IFERROR(INDEX('IG 콘텐츠 data'!$A$1:$AJ$25,MATCH('IG 신규발행'!$A41,'IG 콘텐츠 data'!$S:$S,0),MATCH(N$3,'IG 콘텐츠 data'!$A$1:$Q$1,0)),"")</f>
        <v/>
      </c>
      <c r="O41" s="197" t="str">
        <f t="shared" si="0"/>
        <v/>
      </c>
      <c r="P41" s="198" t="str">
        <f t="shared" si="1"/>
        <v/>
      </c>
      <c r="R41" s="137" t="e">
        <f t="shared" si="2"/>
        <v>#VALUE!</v>
      </c>
      <c r="S41" s="137" t="e">
        <f t="shared" si="3"/>
        <v>#VALUE!</v>
      </c>
      <c r="W41" s="152"/>
    </row>
    <row r="42" spans="1:23" ht="17.45" customHeight="1">
      <c r="A42" s="209">
        <v>39</v>
      </c>
      <c r="B42" s="195" t="str">
        <f>IFERROR(INDEX('IG 콘텐츠 data'!R:R,MATCH('IG 신규발행'!A42,'IG 콘텐츠 data'!S:S,0)),"")</f>
        <v/>
      </c>
      <c r="C42" s="197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197" t="str">
        <f>IFERROR(INDEX('IG 콘텐츠 data'!$A$1:$AJ$25,MATCH('IG 신규발행'!$A42,'IG 콘텐츠 data'!$S:$S,0),MATCH(D$3,'IG 콘텐츠 data'!$A$1:$Q$1,0)),"")</f>
        <v/>
      </c>
      <c r="E42" s="197" t="str">
        <f>IFERROR(INDEX('IG 콘텐츠 data'!$A$1:$AJ$25,MATCH('IG 신규발행'!$A42,'IG 콘텐츠 data'!$S:$S,0),MATCH(E$3,'IG 콘텐츠 data'!$A$1:$Q$1,0)),"")</f>
        <v/>
      </c>
      <c r="F42" s="197" t="str">
        <f>IFERROR(INDEX('IG 콘텐츠 data'!$A$1:$AJ$25,MATCH('IG 신규발행'!$A42,'IG 콘텐츠 data'!$S:$S,0),MATCH(F$3,'IG 콘텐츠 data'!$A$1:$Q$1,0)),"")</f>
        <v/>
      </c>
      <c r="G42" s="197" t="str">
        <f>IFERROR(INDEX('IG 콘텐츠 data'!$A$1:$AJ$25,MATCH('IG 신규발행'!$A42,'IG 콘텐츠 data'!$S:$S,0),MATCH(G$3,'IG 콘텐츠 data'!$A$1:$Q$1,0)),"")</f>
        <v/>
      </c>
      <c r="H42" s="197" t="str">
        <f>IFERROR(INDEX('IG 콘텐츠 data'!$A$1:$AJ$25,MATCH('IG 신규발행'!$A42,'IG 콘텐츠 data'!$S:$S,0),MATCH(H$3,'IG 콘텐츠 data'!$A$1:$Q$1,0)),"")</f>
        <v/>
      </c>
      <c r="I42" s="197" t="str">
        <f>IFERROR(INDEX('IG 콘텐츠 data'!$A$1:$AJ$25,MATCH('IG 신규발행'!$A42,'IG 콘텐츠 data'!$S:$S,0),MATCH(I$3,'IG 콘텐츠 data'!$A$1:$Q$1,0)),"")</f>
        <v/>
      </c>
      <c r="J42" s="197" t="str">
        <f>IFERROR(INDEX('IG 콘텐츠 data'!$A$1:$AJ$25,MATCH('IG 신규발행'!$A42,'IG 콘텐츠 data'!$S:$S,0),MATCH(J$3,'IG 콘텐츠 data'!$A$1:$Q$1,0)),"")</f>
        <v/>
      </c>
      <c r="K42" s="210" t="str">
        <f>IFERROR(INDEX('IG 콘텐츠 data'!$A$1:$AJ$25,MATCH('IG 신규발행'!$A42,'IG 콘텐츠 data'!$S:$S,0),MATCH(K$3,'IG 콘텐츠 data'!$A$1:$Q$1,0)),"")</f>
        <v/>
      </c>
      <c r="L42" s="197" t="str">
        <f>IFERROR(INDEX('IG 콘텐츠 data'!$A$1:$AJ$25,MATCH('IG 신규발행'!$A42,'IG 콘텐츠 data'!$S:$S,0),MATCH(L$3,'IG 콘텐츠 data'!$A$1:$Q$1,0)),"")</f>
        <v/>
      </c>
      <c r="M42" s="197" t="str">
        <f>IFERROR(INDEX('IG 콘텐츠 data'!$A$1:$AJ$25,MATCH('IG 신규발행'!$A42,'IG 콘텐츠 data'!$S:$S,0),MATCH(M$3,'IG 콘텐츠 data'!$A$1:$Q$1,0)),"")</f>
        <v/>
      </c>
      <c r="N42" s="197" t="str">
        <f>IFERROR(INDEX('IG 콘텐츠 data'!$A$1:$AJ$25,MATCH('IG 신규발행'!$A42,'IG 콘텐츠 data'!$S:$S,0),MATCH(N$3,'IG 콘텐츠 data'!$A$1:$Q$1,0)),"")</f>
        <v/>
      </c>
      <c r="O42" s="197" t="str">
        <f t="shared" si="0"/>
        <v/>
      </c>
      <c r="P42" s="198" t="str">
        <f t="shared" si="1"/>
        <v/>
      </c>
      <c r="R42" s="137" t="e">
        <f t="shared" si="2"/>
        <v>#VALUE!</v>
      </c>
      <c r="S42" s="137" t="e">
        <f t="shared" si="3"/>
        <v>#VALUE!</v>
      </c>
      <c r="W42" s="152"/>
    </row>
  </sheetData>
  <autoFilter ref="A3:P42" xr:uid="{00000000-0001-0000-0C00-000000000000}"/>
  <phoneticPr fontId="1" type="noConversion"/>
  <conditionalFormatting sqref="E1:P1048576">
    <cfRule type="expression" dxfId="0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A1:U48"/>
  <sheetViews>
    <sheetView workbookViewId="0">
      <selection activeCell="AC22" sqref="AC22"/>
    </sheetView>
  </sheetViews>
  <sheetFormatPr defaultRowHeight="15"/>
  <cols>
    <col min="1" max="20" width="9" style="137"/>
    <col min="21" max="21" width="8.625" style="157"/>
    <col min="22" max="16384" width="9" style="137"/>
  </cols>
  <sheetData>
    <row r="1" spans="1:21">
      <c r="U1" s="114"/>
    </row>
    <row r="2" spans="1:21">
      <c r="A2" s="137">
        <v>1</v>
      </c>
      <c r="G2" s="137">
        <v>2</v>
      </c>
      <c r="M2" s="137">
        <v>3</v>
      </c>
      <c r="U2" s="114"/>
    </row>
    <row r="3" spans="1:21">
      <c r="B3" s="159" t="str">
        <f>HYPERLINK(INDEX('IG 콘텐츠 data'!D:D,MATCH(INDEX('IG 신규발행'!$A:$A,MATCH(1,'IG 신규발행'!$A:$A,0)),'IG 콘텐츠 data'!S:S,0)),INDEX('IG 신규발행'!$D:$D,MATCH(1,'IG 신규발행'!$A:$A,0)))</f>
        <v>[EVENT] 에너지食 Ep. 3</v>
      </c>
      <c r="H3" s="159" t="str">
        <f>HYPERLINK(INDEX('IG 콘텐츠 data'!D:D,MATCH(INDEX('IG 신규발행'!$A:$A,MATCH(2,'IG 신규발행'!$A:$A,0)),'IG 콘텐츠 data'!S:S,0)),INDEX('IG 신규발행'!$D:$D,MATCH(2,'IG 신규발행'!$A:$A,0)))</f>
        <v>이노드림(요한 볼프강 폰 괴테)</v>
      </c>
      <c r="N3" s="159" t="str">
        <f>HYPERLINK(INDEX('IG 콘텐츠 data'!D:D,MATCH(INDEX('IG 신규발행'!$A:$A,MATCH(3,'IG 신규발행'!$A:$A,0)),'IG 콘텐츠 data'!S:S,0)),INDEX('IG 신규발행'!$D:$D,MATCH(3,'IG 신규발행'!$A:$A,0)))</f>
        <v>이노드림(요한 고트프리트 헤르더)</v>
      </c>
      <c r="U3" s="114"/>
    </row>
    <row r="4" spans="1:21">
      <c r="E4" s="191"/>
      <c r="K4" s="191"/>
      <c r="Q4" s="191"/>
      <c r="U4" s="114"/>
    </row>
    <row r="5" spans="1:21" ht="15.75" thickBot="1">
      <c r="B5" s="164" t="s">
        <v>76</v>
      </c>
      <c r="C5" s="165">
        <f>INDEX('IG 신규발행'!$B$3:$P$30,2,MATCH('IG Top3 Post'!B5,'IG 신규발행'!$B$3:$P$3,0))</f>
        <v>5633</v>
      </c>
      <c r="D5" s="166" t="s">
        <v>55</v>
      </c>
      <c r="E5" s="165">
        <f>INDEX('IG 신규발행'!$B$3:$P$30,2,MATCH('IG Top3 Post'!D5,'IG 신규발행'!$B$3:$P$3,0))</f>
        <v>8729</v>
      </c>
      <c r="H5" s="164" t="s">
        <v>62</v>
      </c>
      <c r="I5" s="165">
        <f>INDEX('IG 신규발행'!$B$3:$P$30,3,MATCH('IG Top3 Post'!H5,'IG 신규발행'!$B$3:$P$3,0))</f>
        <v>3996</v>
      </c>
      <c r="J5" s="166" t="s">
        <v>55</v>
      </c>
      <c r="K5" s="165">
        <f>INDEX('IG 신규발행'!$B$3:$P$30,3,MATCH('IG Top3 Post'!J5,'IG 신규발행'!$B$3:$P$3,0))</f>
        <v>5898</v>
      </c>
      <c r="N5" s="164" t="s">
        <v>62</v>
      </c>
      <c r="O5" s="165">
        <f>INDEX('IG 신규발행'!$B$3:$P$30,4,MATCH('IG Top3 Post'!N5,'IG 신규발행'!$B$3:$P$3,0))</f>
        <v>5993</v>
      </c>
      <c r="P5" s="166" t="s">
        <v>55</v>
      </c>
      <c r="Q5" s="165">
        <f>INDEX('IG 신규발행'!$B$3:$P$30,4,MATCH('IG Top3 Post'!P5,'IG 신규발행'!$B$3:$P$3,0))</f>
        <v>8666</v>
      </c>
      <c r="U5" s="114"/>
    </row>
    <row r="6" spans="1:21" ht="16.5" thickTop="1" thickBot="1">
      <c r="B6" s="167" t="s">
        <v>77</v>
      </c>
      <c r="C6" s="165">
        <f>INDEX('IG 신규발행'!$B$3:$P$30,2,MATCH('IG Top3 Post'!B6,'IG 신규발행'!$B$3:$P$3,0))</f>
        <v>1088</v>
      </c>
      <c r="D6" s="168" t="s">
        <v>78</v>
      </c>
      <c r="E6" s="165">
        <f>INDEX('IG 신규발행'!$B$3:$P$30,2,MATCH('IG Top3 Post'!D6,'IG 신규발행'!$B$3:$P$3,0))</f>
        <v>1221</v>
      </c>
      <c r="H6" s="167" t="s">
        <v>77</v>
      </c>
      <c r="I6" s="165">
        <f>INDEX('IG 신규발행'!$B$3:$P$30,3,MATCH('IG Top3 Post'!H6,'IG 신규발행'!$B$3:$P$3,0))</f>
        <v>1214</v>
      </c>
      <c r="J6" s="168" t="s">
        <v>78</v>
      </c>
      <c r="K6" s="165">
        <f>INDEX('IG 신규발행'!$B$3:$P$30,3,MATCH('IG Top3 Post'!J6,'IG 신규발행'!$B$3:$P$3,0))</f>
        <v>6</v>
      </c>
      <c r="N6" s="167" t="s">
        <v>77</v>
      </c>
      <c r="O6" s="165">
        <f>INDEX('IG 신규발행'!$B$3:$P$30,4,MATCH('IG Top3 Post'!N6,'IG 신규발행'!$B$3:$P$3,0))</f>
        <v>1572</v>
      </c>
      <c r="P6" s="168" t="s">
        <v>78</v>
      </c>
      <c r="Q6" s="165">
        <f>INDEX('IG 신규발행'!$B$3:$P$30,4,MATCH('IG Top3 Post'!P6,'IG 신규발행'!$B$3:$P$3,0))</f>
        <v>7</v>
      </c>
      <c r="U6" s="114"/>
    </row>
    <row r="7" spans="1:21" ht="16.5" thickTop="1" thickBot="1">
      <c r="B7" s="169" t="s">
        <v>79</v>
      </c>
      <c r="C7" s="165">
        <f>INDEX('IG 신규발행'!$B$3:$P$30,2,MATCH('IG Top3 Post'!B7,'IG 신규발행'!$B$3:$P$3,0))</f>
        <v>20</v>
      </c>
      <c r="D7" s="168" t="s">
        <v>82</v>
      </c>
      <c r="E7" s="165">
        <f>INDEX('IG 신규발행'!$B$3:$P$30,2,MATCH('IG Top3 Post'!D7,'IG 신규발행'!$B$3:$P$3,0))</f>
        <v>68</v>
      </c>
      <c r="H7" s="169" t="s">
        <v>79</v>
      </c>
      <c r="I7" s="165">
        <f>INDEX('IG 신규발행'!$B$3:$P$30,3,MATCH('IG Top3 Post'!H7,'IG 신규발행'!$B$3:$P$3,0))</f>
        <v>0</v>
      </c>
      <c r="J7" s="168" t="s">
        <v>75</v>
      </c>
      <c r="K7" s="165">
        <f>INDEX('IG 신규발행'!$B$3:$P$30,3,MATCH('IG Top3 Post'!J7,'IG 신규발행'!$B$3:$P$3,0))</f>
        <v>21</v>
      </c>
      <c r="N7" s="169" t="s">
        <v>79</v>
      </c>
      <c r="O7" s="165">
        <f>INDEX('IG 신규발행'!$B$3:$P$30,4,MATCH('IG Top3 Post'!N7,'IG 신규발행'!$B$3:$P$3,0))</f>
        <v>0</v>
      </c>
      <c r="P7" s="168" t="s">
        <v>75</v>
      </c>
      <c r="Q7" s="165">
        <f>INDEX('IG 신규발행'!$B$3:$P$30,4,MATCH('IG Top3 Post'!P7,'IG 신규발행'!$B$3:$P$3,0))</f>
        <v>40</v>
      </c>
      <c r="U7" s="114"/>
    </row>
    <row r="8" spans="1:21" ht="16.5" thickTop="1" thickBot="1">
      <c r="B8" s="170" t="s">
        <v>80</v>
      </c>
      <c r="C8" s="165">
        <f>INDEX('IG 신규발행'!$B$3:$P$30,2,MATCH('IG Top3 Post'!B8,'IG 신규발행'!$B$3:$P$3,0))</f>
        <v>2397</v>
      </c>
      <c r="D8" s="168" t="s">
        <v>81</v>
      </c>
      <c r="E8" s="171">
        <f>INDEX('IG 신규발행'!$B$3:$P$30,2,MATCH('IG Top3 Post'!D8,'IG 신규발행'!$B$3:$P$3,0))</f>
        <v>0.42552813775963072</v>
      </c>
      <c r="H8" s="170" t="s">
        <v>54</v>
      </c>
      <c r="I8" s="165">
        <f>INDEX('IG 신규발행'!$B$3:$P$30,3,MATCH('IG Top3 Post'!H8,'IG 신규발행'!$B$3:$P$3,0))</f>
        <v>1241</v>
      </c>
      <c r="J8" s="168" t="s">
        <v>58</v>
      </c>
      <c r="K8" s="171">
        <f>INDEX('IG 신규발행'!$B$3:$P$30,3,MATCH('IG Top3 Post'!J8,'IG 신규발행'!$B$3:$P$3,0))</f>
        <v>0.31056056056056058</v>
      </c>
      <c r="N8" s="170" t="s">
        <v>54</v>
      </c>
      <c r="O8" s="165">
        <f>INDEX('IG 신규발행'!$B$3:$P$30,4,MATCH('IG Top3 Post'!N8,'IG 신규발행'!$B$3:$P$3,0))</f>
        <v>1619</v>
      </c>
      <c r="P8" s="168" t="s">
        <v>58</v>
      </c>
      <c r="Q8" s="171">
        <f>INDEX('IG 신규발행'!$B$3:$P$30,4,MATCH('IG Top3 Post'!P8,'IG 신규발행'!$B$3:$P$3,0))</f>
        <v>0.27014850659102285</v>
      </c>
      <c r="U8" s="114"/>
    </row>
    <row r="9" spans="1:21" ht="15.75" thickTop="1">
      <c r="U9" s="114"/>
    </row>
    <row r="10" spans="1:21">
      <c r="B10" s="114"/>
      <c r="U10" s="114"/>
    </row>
    <row r="11" spans="1:21">
      <c r="B11" s="105" t="s">
        <v>68</v>
      </c>
      <c r="U11" s="114"/>
    </row>
    <row r="12" spans="1:21">
      <c r="B12" s="105" t="s">
        <v>103</v>
      </c>
      <c r="U12" s="114"/>
    </row>
    <row r="13" spans="1:21">
      <c r="U13" s="114"/>
    </row>
    <row r="14" spans="1:21">
      <c r="U14" s="114"/>
    </row>
    <row r="15" spans="1:21">
      <c r="U15" s="114"/>
    </row>
    <row r="16" spans="1:21">
      <c r="A16" s="137" t="s">
        <v>205</v>
      </c>
      <c r="G16" s="137" t="s">
        <v>206</v>
      </c>
      <c r="U16" s="114"/>
    </row>
    <row r="17" spans="2:21">
      <c r="B17" s="159" t="str">
        <f>HYPERLINK(INDEX('IG 콘텐츠 data'!D:D,MATCH(INDEX('IG 신규발행'!$A:$A,MATCH(1,'IG 신규발행'!$R:$R,0)),'IG 콘텐츠 data'!S:S,0)),INDEX('IG 신규발행'!$D:$D,MATCH(1,'IG 신규발행'!$R:$R,0)))</f>
        <v>데일리 슼슼 - 우산</v>
      </c>
      <c r="H17" s="159" t="str">
        <f>HYPERLINK(INDEX('IG 콘텐츠 data'!D:D,MATCH(INDEX('IG 신규발행'!$A:$A,MATCH(1,'IG 신규발행'!$S:$S,0)),'IG 콘텐츠 data'!S:S,0)),INDEX('IG 신규발행'!$D:$D,MATCH(1,'IG 신규발행'!$S:$S,0)))</f>
        <v>2024 울산포럼 홍보 영상</v>
      </c>
      <c r="U17" s="114"/>
    </row>
    <row r="18" spans="2:21">
      <c r="E18" s="191"/>
      <c r="K18" s="191"/>
      <c r="U18" s="114"/>
    </row>
    <row r="19" spans="2:21" ht="15.75" thickBot="1">
      <c r="B19" s="164" t="s">
        <v>62</v>
      </c>
      <c r="C19" s="165">
        <f>INDEX('IG 신규발행'!$B$3:$P$30,MATCH(1,'IG 신규발행'!$R$3:$R$30,0),MATCH('IG Top3 Post'!B19,'IG 신규발행'!$B$3:$P$3,0))</f>
        <v>17354</v>
      </c>
      <c r="D19" s="166" t="s">
        <v>55</v>
      </c>
      <c r="E19" s="165">
        <f>INDEX('IG 신규발행'!$B$3:$P$30,MATCH(1,'IG 신규발행'!$R$3:$R$30,0),MATCH('IG Top3 Post'!D19,'IG 신규발행'!$B$3:$P$3,0))</f>
        <v>28663</v>
      </c>
      <c r="H19" s="164" t="s">
        <v>62</v>
      </c>
      <c r="I19" s="165">
        <f>INDEX('IG 신규발행'!$B$3:$P$30,MATCH(1,'IG 신규발행'!$S$3:$S$30,0),MATCH('IG Top3 Post'!H19,'IG 신규발행'!$B$3:$P$3,0))</f>
        <v>34317</v>
      </c>
      <c r="J19" s="166" t="s">
        <v>55</v>
      </c>
      <c r="K19" s="165">
        <f>INDEX('IG 신규발행'!$B$3:$P$30,MATCH(1,'IG 신규발행'!$S$3:$S$30,0),MATCH('IG Top3 Post'!J19,'IG 신규발행'!$B$3:$P$3,0))</f>
        <v>48976</v>
      </c>
      <c r="U19" s="114"/>
    </row>
    <row r="20" spans="2:21" ht="16.5" thickTop="1" thickBot="1">
      <c r="B20" s="167" t="s">
        <v>77</v>
      </c>
      <c r="C20" s="165">
        <f>INDEX('IG 신규발행'!$B$3:$P$30,MATCH(1,'IG 신규발행'!$R$3:$R$30,0),MATCH('IG Top3 Post'!B20,'IG 신규발행'!$B$3:$P$3,0))</f>
        <v>137</v>
      </c>
      <c r="D20" s="168" t="s">
        <v>78</v>
      </c>
      <c r="E20" s="165">
        <f>INDEX('IG 신규발행'!$B$3:$P$30,MATCH(1,'IG 신규발행'!$R$3:$R$30,0),MATCH('IG Top3 Post'!D20,'IG 신규발행'!$B$3:$P$3,0))</f>
        <v>2</v>
      </c>
      <c r="H20" s="167" t="s">
        <v>77</v>
      </c>
      <c r="I20" s="165">
        <f>INDEX('IG 신규발행'!$B$3:$P$30,MATCH(1,'IG 신규발행'!$S$3:$S$30,0),MATCH('IG Top3 Post'!H20,'IG 신규발행'!$B$3:$P$3,0))</f>
        <v>58</v>
      </c>
      <c r="J20" s="168" t="s">
        <v>78</v>
      </c>
      <c r="K20" s="165">
        <f>INDEX('IG 신규발행'!$B$3:$P$30,MATCH(1,'IG 신규발행'!$S$3:$S$30,0),MATCH('IG Top3 Post'!J20,'IG 신규발행'!$B$3:$P$3,0))</f>
        <v>0</v>
      </c>
      <c r="U20" s="114"/>
    </row>
    <row r="21" spans="2:21" ht="16.5" thickTop="1" thickBot="1">
      <c r="B21" s="169" t="s">
        <v>79</v>
      </c>
      <c r="C21" s="165">
        <f>INDEX('IG 신규발행'!$B$3:$P$30,MATCH(1,'IG 신규발행'!$R$3:$R$30,0),MATCH('IG Top3 Post'!B21,'IG 신규발행'!$B$3:$P$3,0))</f>
        <v>1</v>
      </c>
      <c r="D21" s="168" t="s">
        <v>75</v>
      </c>
      <c r="E21" s="165">
        <f>INDEX('IG 신규발행'!$B$3:$P$30,MATCH(1,'IG 신규발행'!$R$3:$R$30,0),MATCH('IG Top3 Post'!D21,'IG 신규발행'!$B$3:$P$3,0))</f>
        <v>125</v>
      </c>
      <c r="H21" s="169" t="s">
        <v>79</v>
      </c>
      <c r="I21" s="165">
        <f>INDEX('IG 신규발행'!$B$3:$P$30,MATCH(1,'IG 신규발행'!$S$3:$S$30,0),MATCH('IG Top3 Post'!H21,'IG 신규발행'!$B$3:$P$3,0))</f>
        <v>0</v>
      </c>
      <c r="J21" s="168" t="s">
        <v>75</v>
      </c>
      <c r="K21" s="165">
        <f>INDEX('IG 신규발행'!$B$3:$P$30,MATCH(1,'IG 신규발행'!$S$3:$S$30,0),MATCH('IG Top3 Post'!J21,'IG 신규발행'!$B$3:$P$3,0))</f>
        <v>2</v>
      </c>
      <c r="U21" s="114"/>
    </row>
    <row r="22" spans="2:21" ht="16.5" thickTop="1" thickBot="1">
      <c r="B22" s="170" t="s">
        <v>54</v>
      </c>
      <c r="C22" s="165">
        <f>INDEX('IG 신규발행'!$B$3:$P$30,MATCH(1,'IG 신규발행'!$R$3:$R$30,0),MATCH('IG Top3 Post'!B22,'IG 신규발행'!$B$3:$P$3,0))</f>
        <v>265</v>
      </c>
      <c r="D22" s="168" t="s">
        <v>58</v>
      </c>
      <c r="E22" s="171">
        <f>INDEX('IG 신규발행'!$B$3:$P$30,MATCH(1,'IG 신규발행'!$R$3:$R$30,0),MATCH('IG Top3 Post'!D22,'IG 신규발행'!$B$3:$P$3,0))</f>
        <v>1.5270254696323614E-2</v>
      </c>
      <c r="H22" s="170" t="s">
        <v>54</v>
      </c>
      <c r="I22" s="165">
        <f>INDEX('IG 신규발행'!$B$3:$P$30,MATCH(1,'IG 신규발행'!$S$3:$S$30,0),MATCH('IG Top3 Post'!H22,'IG 신규발행'!$B$3:$P$3,0))</f>
        <v>60</v>
      </c>
      <c r="J22" s="168" t="s">
        <v>58</v>
      </c>
      <c r="K22" s="171">
        <f>INDEX('IG 신규발행'!$B$3:$P$30,MATCH(1,'IG 신규발행'!$S$3:$S$30,0),MATCH('IG Top3 Post'!J22,'IG 신규발행'!$B$3:$P$3,0))</f>
        <v>1.7484045808200017E-3</v>
      </c>
      <c r="U22" s="114"/>
    </row>
    <row r="23" spans="2:21" ht="15.75" thickTop="1">
      <c r="U23" s="114"/>
    </row>
    <row r="24" spans="2:21">
      <c r="U24" s="114"/>
    </row>
    <row r="25" spans="2:21">
      <c r="U25" s="114"/>
    </row>
    <row r="26" spans="2:21">
      <c r="U26" s="114"/>
    </row>
    <row r="27" spans="2:21">
      <c r="U27" s="114"/>
    </row>
    <row r="28" spans="2:21">
      <c r="U28" s="114"/>
    </row>
    <row r="29" spans="2:21">
      <c r="U29" s="114"/>
    </row>
    <row r="30" spans="2:21">
      <c r="U30" s="114"/>
    </row>
    <row r="31" spans="2:21">
      <c r="U31" s="114"/>
    </row>
    <row r="32" spans="2:21">
      <c r="U32" s="114"/>
    </row>
    <row r="33" spans="21:21">
      <c r="U33" s="114"/>
    </row>
    <row r="34" spans="21:21">
      <c r="U34" s="114"/>
    </row>
    <row r="35" spans="21:21">
      <c r="U35" s="114"/>
    </row>
    <row r="36" spans="21:21">
      <c r="U36" s="114"/>
    </row>
    <row r="37" spans="21:21">
      <c r="U37" s="114"/>
    </row>
    <row r="38" spans="21:21">
      <c r="U38" s="114"/>
    </row>
    <row r="39" spans="21:21">
      <c r="U39" s="114"/>
    </row>
    <row r="40" spans="21:21">
      <c r="U40" s="114"/>
    </row>
    <row r="41" spans="21:21">
      <c r="U41" s="114"/>
    </row>
    <row r="42" spans="21:21">
      <c r="U42" s="114"/>
    </row>
    <row r="43" spans="21:21">
      <c r="U43" s="114"/>
    </row>
    <row r="44" spans="21:21">
      <c r="U44" s="114"/>
    </row>
    <row r="45" spans="21:21">
      <c r="U45" s="114"/>
    </row>
    <row r="46" spans="21:21">
      <c r="U46" s="114"/>
    </row>
    <row r="47" spans="21:21">
      <c r="U47" s="114"/>
    </row>
    <row r="48" spans="21:21">
      <c r="U48" s="11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E36"/>
  <sheetViews>
    <sheetView workbookViewId="0">
      <selection activeCell="V14" sqref="V14"/>
    </sheetView>
  </sheetViews>
  <sheetFormatPr defaultRowHeight="15"/>
  <cols>
    <col min="1" max="1" width="10.875" style="137" bestFit="1" customWidth="1"/>
    <col min="2" max="2" width="9.25" style="137" bestFit="1" customWidth="1"/>
    <col min="3" max="16384" width="9" style="137"/>
  </cols>
  <sheetData>
    <row r="1" spans="1:2">
      <c r="A1" s="176" t="s">
        <v>94</v>
      </c>
      <c r="B1" s="177" t="s">
        <v>95</v>
      </c>
    </row>
    <row r="2" spans="1:2">
      <c r="A2" s="192" t="str">
        <f>IF(일일data!A4="","",TEXT(일일data!A4,"d"))</f>
        <v>1</v>
      </c>
      <c r="B2" s="193">
        <f>IF(일일data!Z4="","",일일data!Z4)</f>
        <v>191598</v>
      </c>
    </row>
    <row r="3" spans="1:2">
      <c r="A3" s="192" t="str">
        <f>IF(일일data!A5="","",TEXT(일일data!A5,"d"))</f>
        <v>2</v>
      </c>
      <c r="B3" s="193">
        <f>IF(일일data!Z5="","",일일data!Z5)</f>
        <v>191548</v>
      </c>
    </row>
    <row r="4" spans="1:2">
      <c r="A4" s="192" t="str">
        <f>IF(일일data!A6="","",TEXT(일일data!A6,"d"))</f>
        <v>3</v>
      </c>
      <c r="B4" s="193">
        <f>IF(일일data!Z6="","",일일data!Z6)</f>
        <v>191502</v>
      </c>
    </row>
    <row r="5" spans="1:2">
      <c r="A5" s="192" t="str">
        <f>IF(일일data!A7="","",TEXT(일일data!A7,"d"))</f>
        <v>4</v>
      </c>
      <c r="B5" s="193">
        <f>IF(일일data!Z7="","",일일data!Z7)</f>
        <v>191459</v>
      </c>
    </row>
    <row r="6" spans="1:2">
      <c r="A6" s="192" t="str">
        <f>IF(일일data!A8="","",TEXT(일일data!A8,"d"))</f>
        <v>5</v>
      </c>
      <c r="B6" s="193">
        <f>IF(일일data!Z8="","",일일data!Z8)</f>
        <v>191386</v>
      </c>
    </row>
    <row r="7" spans="1:2">
      <c r="A7" s="192" t="str">
        <f>IF(일일data!A9="","",TEXT(일일data!A9,"d"))</f>
        <v>6</v>
      </c>
      <c r="B7" s="193">
        <f>IF(일일data!Z9="","",일일data!Z9)</f>
        <v>191332</v>
      </c>
    </row>
    <row r="8" spans="1:2">
      <c r="A8" s="192" t="str">
        <f>IF(일일data!A10="","",TEXT(일일data!A10,"d"))</f>
        <v>7</v>
      </c>
      <c r="B8" s="193">
        <f>IF(일일data!Z10="","",일일data!Z10)</f>
        <v>191286</v>
      </c>
    </row>
    <row r="9" spans="1:2">
      <c r="A9" s="192" t="str">
        <f>IF(일일data!A11="","",TEXT(일일data!A11,"d"))</f>
        <v>8</v>
      </c>
      <c r="B9" s="193">
        <f>IF(일일data!Z11="","",일일data!Z11)</f>
        <v>191241</v>
      </c>
    </row>
    <row r="10" spans="1:2">
      <c r="A10" s="192" t="str">
        <f>IF(일일data!A12="","",TEXT(일일data!A12,"d"))</f>
        <v>9</v>
      </c>
      <c r="B10" s="193">
        <f>IF(일일data!Z12="","",일일data!Z12)</f>
        <v>191203</v>
      </c>
    </row>
    <row r="11" spans="1:2">
      <c r="A11" s="192" t="str">
        <f>IF(일일data!A13="","",TEXT(일일data!A13,"d"))</f>
        <v>10</v>
      </c>
      <c r="B11" s="193">
        <f>IF(일일data!Z13="","",일일data!Z13)</f>
        <v>191147</v>
      </c>
    </row>
    <row r="12" spans="1:2">
      <c r="A12" s="192" t="str">
        <f>IF(일일data!A14="","",TEXT(일일data!A14,"d"))</f>
        <v>11</v>
      </c>
      <c r="B12" s="193">
        <f>IF(일일data!Z14="","",일일data!Z14)</f>
        <v>191111</v>
      </c>
    </row>
    <row r="13" spans="1:2">
      <c r="A13" s="192" t="str">
        <f>IF(일일data!A15="","",TEXT(일일data!A15,"d"))</f>
        <v>12</v>
      </c>
      <c r="B13" s="193">
        <f>IF(일일data!Z15="","",일일data!Z15)</f>
        <v>191072</v>
      </c>
    </row>
    <row r="14" spans="1:2">
      <c r="A14" s="192" t="str">
        <f>IF(일일data!A16="","",TEXT(일일data!A16,"d"))</f>
        <v>13</v>
      </c>
      <c r="B14" s="193">
        <f>IF(일일data!Z16="","",일일data!Z16)</f>
        <v>191031</v>
      </c>
    </row>
    <row r="15" spans="1:2">
      <c r="A15" s="192" t="str">
        <f>IF(일일data!A17="","",TEXT(일일data!A17,"d"))</f>
        <v>14</v>
      </c>
      <c r="B15" s="193">
        <f>IF(일일data!Z17="","",일일data!Z17)</f>
        <v>190917</v>
      </c>
    </row>
    <row r="16" spans="1:2">
      <c r="A16" s="192" t="str">
        <f>IF(일일data!A18="","",TEXT(일일data!A18,"d"))</f>
        <v>15</v>
      </c>
      <c r="B16" s="193">
        <f>IF(일일data!Z18="","",일일data!Z18)</f>
        <v>190917</v>
      </c>
    </row>
    <row r="17" spans="1:5">
      <c r="A17" s="192" t="str">
        <f>IF(일일data!A19="","",TEXT(일일data!A19,"d"))</f>
        <v>16</v>
      </c>
      <c r="B17" s="193">
        <f>IF(일일data!Z19="","",일일data!Z19)</f>
        <v>190890</v>
      </c>
    </row>
    <row r="18" spans="1:5">
      <c r="A18" s="192" t="str">
        <f>IF(일일data!A20="","",TEXT(일일data!A20,"d"))</f>
        <v>17</v>
      </c>
      <c r="B18" s="193">
        <f>IF(일일data!Z20="","",일일data!Z20)</f>
        <v>190841</v>
      </c>
    </row>
    <row r="19" spans="1:5">
      <c r="A19" s="192" t="str">
        <f>IF(일일data!A21="","",TEXT(일일data!A21,"d"))</f>
        <v>18</v>
      </c>
      <c r="B19" s="193">
        <f>IF(일일data!Z21="","",일일data!Z21)</f>
        <v>190811</v>
      </c>
    </row>
    <row r="20" spans="1:5">
      <c r="A20" s="192" t="str">
        <f>IF(일일data!A22="","",TEXT(일일data!A22,"d"))</f>
        <v>19</v>
      </c>
      <c r="B20" s="193">
        <f>IF(일일data!Z22="","",일일data!Z22)</f>
        <v>190765</v>
      </c>
    </row>
    <row r="21" spans="1:5">
      <c r="A21" s="192" t="str">
        <f>IF(일일data!A23="","",TEXT(일일data!A23,"d"))</f>
        <v>20</v>
      </c>
      <c r="B21" s="193">
        <f>IF(일일data!Z23="","",일일data!Z23)</f>
        <v>190719</v>
      </c>
    </row>
    <row r="22" spans="1:5">
      <c r="A22" s="192" t="str">
        <f>IF(일일data!A24="","",TEXT(일일data!A24,"d"))</f>
        <v>21</v>
      </c>
      <c r="B22" s="193">
        <f>IF(일일data!Z24="","",일일data!Z24)</f>
        <v>190688</v>
      </c>
    </row>
    <row r="23" spans="1:5">
      <c r="A23" s="192" t="str">
        <f>IF(일일data!A25="","",TEXT(일일data!A25,"d"))</f>
        <v>22</v>
      </c>
      <c r="B23" s="193">
        <f>IF(일일data!Z25="","",일일data!Z25)</f>
        <v>190646</v>
      </c>
    </row>
    <row r="24" spans="1:5">
      <c r="A24" s="192" t="str">
        <f>IF(일일data!A26="","",TEXT(일일data!A26,"d"))</f>
        <v>23</v>
      </c>
      <c r="B24" s="193">
        <f>IF(일일data!Z26="","",일일data!Z26)</f>
        <v>190606</v>
      </c>
    </row>
    <row r="25" spans="1:5">
      <c r="A25" s="192" t="str">
        <f>IF(일일data!A27="","",TEXT(일일data!A27,"d"))</f>
        <v>24</v>
      </c>
      <c r="B25" s="193">
        <f>IF(일일data!Z27="","",일일data!Z27)</f>
        <v>190558</v>
      </c>
    </row>
    <row r="26" spans="1:5">
      <c r="A26" s="192" t="str">
        <f>IF(일일data!A28="","",TEXT(일일data!A28,"d"))</f>
        <v>25</v>
      </c>
      <c r="B26" s="193">
        <f>IF(일일data!Z28="","",일일data!Z28)</f>
        <v>190536</v>
      </c>
    </row>
    <row r="27" spans="1:5">
      <c r="A27" s="192" t="str">
        <f>IF(일일data!A29="","",TEXT(일일data!A29,"d"))</f>
        <v>26</v>
      </c>
      <c r="B27" s="193">
        <f>IF(일일data!Z29="","",일일data!Z29)</f>
        <v>190488</v>
      </c>
    </row>
    <row r="28" spans="1:5">
      <c r="A28" s="192" t="str">
        <f>IF(일일data!A30="","",TEXT(일일data!A30,"d"))</f>
        <v>27</v>
      </c>
      <c r="B28" s="193">
        <f>IF(일일data!Z30="","",일일data!Z30)</f>
        <v>190456</v>
      </c>
    </row>
    <row r="29" spans="1:5">
      <c r="A29" s="192" t="str">
        <f>IF(일일data!A31="","",TEXT(일일data!A31,"d"))</f>
        <v>28</v>
      </c>
      <c r="B29" s="193">
        <f>IF(일일data!Z31="","",일일data!Z31)</f>
        <v>190417</v>
      </c>
    </row>
    <row r="30" spans="1:5">
      <c r="A30" s="192" t="str">
        <f>IF(일일data!A32="","",TEXT(일일data!A32,"d"))</f>
        <v>29</v>
      </c>
      <c r="B30" s="193">
        <f>IF(일일data!Z32="","",일일data!Z32)</f>
        <v>190375</v>
      </c>
    </row>
    <row r="31" spans="1:5">
      <c r="A31" s="192" t="str">
        <f>IF(일일data!A33="","",TEXT(일일data!A33,"d"))</f>
        <v>30</v>
      </c>
      <c r="B31" s="193">
        <f>IF(일일data!Z33="","",일일data!Z33)</f>
        <v>190314</v>
      </c>
      <c r="E31" s="119" t="str">
        <f>"구독자 "&amp;TEXT(ABS(INDEX('채널별 팔로워 추이'!$S$4:$S$16,COUNTA('채널별 팔로워 추이'!$S$4:$S$16))-INDEX('채널별 팔로워 추이'!$S$4:$S$16,COUNTA('채널별 팔로워 추이'!$S$4:$S$16)-1)),"#,###")&amp;"명"&amp;CHAR(10)&amp;"("&amp;TEXT((INDEX('채널별 팔로워 추이'!$S$4:$S$16,COUNTA('채널별 팔로워 추이'!$S$4:$S$16))-INDEX('채널별 팔로워 추이'!$S$4:$S$16,COUNTA('채널별 팔로워 추이'!$S$4:$S$16)-1))/INDEX('채널별 팔로워 추이'!$S$4:$S$16,COUNTA('채널별 팔로워 추이'!$S$4:$S$16)-1),"0.##%")&amp;IF(INDEX('채널별 팔로워 추이'!$S$4:$S$16,COUNTA('채널별 팔로워 추이'!$S$4:$S$16))&gt;INDEX('채널별 팔로워 추이'!$S$4:$S$16,COUNTA('채널별 팔로워 추이'!$S$4:$S$16)-1),") 증가",") 감소")</f>
        <v>구독자 1,356명
(-0.71%) 감소</v>
      </c>
    </row>
    <row r="32" spans="1:5">
      <c r="A32" s="192" t="str">
        <f>IF(일일data!A34="","",TEXT(일일data!A34,"d"))</f>
        <v>31</v>
      </c>
      <c r="B32" s="193">
        <f>IF(일일data!Z34="","",일일data!Z34)</f>
        <v>190280</v>
      </c>
      <c r="C32" s="194"/>
    </row>
    <row r="36" spans="2:2">
      <c r="B36" s="19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42DA-74B7-4549-BFC3-FD0B2552876D}">
  <sheetPr codeName="Sheet14">
    <tabColor theme="9" tint="-0.499984740745262"/>
  </sheetPr>
  <dimension ref="A4:AY96"/>
  <sheetViews>
    <sheetView tabSelected="1" topLeftCell="A7" workbookViewId="0">
      <selection activeCell="AT19" sqref="AT19"/>
    </sheetView>
  </sheetViews>
  <sheetFormatPr defaultRowHeight="16.5"/>
  <cols>
    <col min="27" max="51" width="9" style="137"/>
  </cols>
  <sheetData>
    <row r="4" spans="1:45">
      <c r="A4" t="s">
        <v>290</v>
      </c>
      <c r="AA4" s="137" t="s">
        <v>416</v>
      </c>
      <c r="AI4" s="137" t="s">
        <v>425</v>
      </c>
    </row>
    <row r="5" spans="1:45">
      <c r="B5" s="213" t="s">
        <v>270</v>
      </c>
      <c r="M5" s="217" t="s">
        <v>280</v>
      </c>
      <c r="AA5" s="137" t="s">
        <v>417</v>
      </c>
      <c r="AI5" s="137" t="s">
        <v>426</v>
      </c>
      <c r="AS5" s="137" t="s">
        <v>242</v>
      </c>
    </row>
    <row r="6" spans="1:45">
      <c r="B6" s="214" t="s">
        <v>271</v>
      </c>
      <c r="M6" s="214" t="s">
        <v>281</v>
      </c>
      <c r="AA6" s="137" t="s">
        <v>418</v>
      </c>
      <c r="AI6" s="137" t="s">
        <v>427</v>
      </c>
      <c r="AS6" s="137" t="s">
        <v>442</v>
      </c>
    </row>
    <row r="7" spans="1:45">
      <c r="B7" s="214" t="s">
        <v>272</v>
      </c>
      <c r="M7" s="214" t="s">
        <v>282</v>
      </c>
      <c r="AA7" s="137" t="s">
        <v>419</v>
      </c>
      <c r="AI7" s="137" t="s">
        <v>428</v>
      </c>
      <c r="AS7" s="137" t="s">
        <v>443</v>
      </c>
    </row>
    <row r="8" spans="1:45">
      <c r="B8" s="214" t="s">
        <v>273</v>
      </c>
      <c r="M8" s="217" t="s">
        <v>283</v>
      </c>
      <c r="AA8" s="137" t="s">
        <v>420</v>
      </c>
      <c r="AI8" s="137" t="s">
        <v>429</v>
      </c>
      <c r="AS8" s="137" t="s">
        <v>444</v>
      </c>
    </row>
    <row r="9" spans="1:45">
      <c r="B9" s="215" t="s">
        <v>274</v>
      </c>
      <c r="M9" s="214" t="s">
        <v>284</v>
      </c>
      <c r="AA9" s="137" t="s">
        <v>421</v>
      </c>
      <c r="AI9" s="137" t="s">
        <v>430</v>
      </c>
      <c r="AS9" s="137" t="s">
        <v>445</v>
      </c>
    </row>
    <row r="10" spans="1:45">
      <c r="B10" s="214" t="s">
        <v>275</v>
      </c>
      <c r="M10" s="214" t="s">
        <v>285</v>
      </c>
      <c r="AA10" s="137" t="s">
        <v>422</v>
      </c>
      <c r="AS10" s="137" t="s">
        <v>446</v>
      </c>
    </row>
    <row r="11" spans="1:45">
      <c r="B11" s="214" t="s">
        <v>276</v>
      </c>
      <c r="M11" s="218" t="s">
        <v>286</v>
      </c>
      <c r="AA11" s="137" t="s">
        <v>423</v>
      </c>
    </row>
    <row r="12" spans="1:45">
      <c r="B12" s="214" t="s">
        <v>277</v>
      </c>
      <c r="M12" s="217" t="s">
        <v>287</v>
      </c>
      <c r="AA12" s="137" t="s">
        <v>424</v>
      </c>
    </row>
    <row r="13" spans="1:45">
      <c r="B13" s="215" t="s">
        <v>278</v>
      </c>
      <c r="M13" s="214" t="s">
        <v>288</v>
      </c>
      <c r="AS13" s="137" t="s">
        <v>447</v>
      </c>
    </row>
    <row r="14" spans="1:45">
      <c r="B14" s="216" t="s">
        <v>279</v>
      </c>
      <c r="M14" s="216" t="s">
        <v>289</v>
      </c>
      <c r="AA14" s="157" t="s">
        <v>431</v>
      </c>
      <c r="AI14" s="157" t="s">
        <v>451</v>
      </c>
      <c r="AS14" s="137" t="s">
        <v>448</v>
      </c>
    </row>
    <row r="15" spans="1:45">
      <c r="AA15" s="137" t="s">
        <v>432</v>
      </c>
      <c r="AI15" s="157" t="s">
        <v>452</v>
      </c>
    </row>
    <row r="16" spans="1:45">
      <c r="AA16" s="137" t="s">
        <v>433</v>
      </c>
      <c r="AI16" s="157" t="s">
        <v>453</v>
      </c>
    </row>
    <row r="17" spans="1:46">
      <c r="A17" t="s">
        <v>291</v>
      </c>
      <c r="AI17" s="157" t="s">
        <v>454</v>
      </c>
    </row>
    <row r="18" spans="1:46">
      <c r="B18" s="213" t="s">
        <v>292</v>
      </c>
      <c r="M18" s="217" t="s">
        <v>301</v>
      </c>
    </row>
    <row r="19" spans="1:46">
      <c r="B19" s="219" t="s">
        <v>293</v>
      </c>
      <c r="M19" s="214" t="s">
        <v>302</v>
      </c>
      <c r="AS19" s="137" t="s">
        <v>458</v>
      </c>
    </row>
    <row r="20" spans="1:46">
      <c r="B20" s="213" t="s">
        <v>294</v>
      </c>
      <c r="M20" s="214" t="s">
        <v>303</v>
      </c>
      <c r="AS20" s="137" t="s">
        <v>459</v>
      </c>
    </row>
    <row r="21" spans="1:46">
      <c r="B21" s="219" t="s">
        <v>295</v>
      </c>
      <c r="M21" s="217" t="s">
        <v>304</v>
      </c>
      <c r="AT21" s="137" t="s">
        <v>460</v>
      </c>
    </row>
    <row r="22" spans="1:46">
      <c r="B22" s="219" t="s">
        <v>296</v>
      </c>
      <c r="M22" s="213" t="s">
        <v>305</v>
      </c>
      <c r="AB22" s="137" t="s">
        <v>66</v>
      </c>
      <c r="AT22" s="137" t="s">
        <v>438</v>
      </c>
    </row>
    <row r="23" spans="1:46">
      <c r="B23" s="213" t="s">
        <v>297</v>
      </c>
      <c r="M23" s="214" t="s">
        <v>306</v>
      </c>
      <c r="AC23" s="137" t="s">
        <v>167</v>
      </c>
      <c r="AS23" s="137" t="s">
        <v>461</v>
      </c>
    </row>
    <row r="24" spans="1:46">
      <c r="B24" s="214" t="s">
        <v>298</v>
      </c>
      <c r="M24" s="217" t="s">
        <v>307</v>
      </c>
      <c r="AC24" s="137" t="s">
        <v>438</v>
      </c>
      <c r="AS24" s="137" t="s">
        <v>462</v>
      </c>
    </row>
    <row r="25" spans="1:46">
      <c r="B25" s="213" t="s">
        <v>299</v>
      </c>
      <c r="M25" s="214" t="s">
        <v>308</v>
      </c>
      <c r="AB25" s="137" t="s">
        <v>62</v>
      </c>
      <c r="AT25" s="137" t="s">
        <v>463</v>
      </c>
    </row>
    <row r="26" spans="1:46">
      <c r="B26" s="134" t="s">
        <v>300</v>
      </c>
      <c r="M26" s="213" t="s">
        <v>309</v>
      </c>
      <c r="AC26" s="137" t="s">
        <v>437</v>
      </c>
      <c r="AT26" s="137" t="s">
        <v>464</v>
      </c>
    </row>
    <row r="27" spans="1:46">
      <c r="AC27" s="137" t="s">
        <v>439</v>
      </c>
      <c r="AT27" s="137" t="s">
        <v>465</v>
      </c>
    </row>
    <row r="28" spans="1:46">
      <c r="AB28" s="137" t="s">
        <v>434</v>
      </c>
      <c r="AS28" s="137" t="s">
        <v>466</v>
      </c>
    </row>
    <row r="29" spans="1:46">
      <c r="A29" t="s">
        <v>310</v>
      </c>
      <c r="AB29" s="137" t="s">
        <v>435</v>
      </c>
      <c r="AT29" s="137" t="s">
        <v>463</v>
      </c>
    </row>
    <row r="30" spans="1:46">
      <c r="B30" s="213" t="s">
        <v>311</v>
      </c>
      <c r="M30" s="217" t="s">
        <v>320</v>
      </c>
      <c r="AB30" s="137" t="s">
        <v>436</v>
      </c>
      <c r="AT30" s="137" t="s">
        <v>467</v>
      </c>
    </row>
    <row r="31" spans="1:46">
      <c r="B31" s="214" t="s">
        <v>312</v>
      </c>
      <c r="M31" s="214" t="s">
        <v>321</v>
      </c>
      <c r="AB31" s="137" t="s">
        <v>440</v>
      </c>
      <c r="AT31" s="137" t="s">
        <v>465</v>
      </c>
    </row>
    <row r="32" spans="1:46">
      <c r="B32" s="214" t="s">
        <v>313</v>
      </c>
      <c r="M32" s="214" t="s">
        <v>322</v>
      </c>
      <c r="AB32" s="137" t="s">
        <v>441</v>
      </c>
      <c r="AS32" s="137" t="s">
        <v>441</v>
      </c>
    </row>
    <row r="33" spans="1:13">
      <c r="B33" s="214" t="s">
        <v>314</v>
      </c>
      <c r="M33" s="213" t="s">
        <v>323</v>
      </c>
    </row>
    <row r="34" spans="1:13">
      <c r="B34" s="213" t="s">
        <v>315</v>
      </c>
      <c r="M34" s="217" t="s">
        <v>324</v>
      </c>
    </row>
    <row r="35" spans="1:13">
      <c r="B35" s="214" t="s">
        <v>316</v>
      </c>
      <c r="M35" s="217" t="s">
        <v>325</v>
      </c>
    </row>
    <row r="36" spans="1:13">
      <c r="B36" s="214" t="s">
        <v>317</v>
      </c>
      <c r="M36" s="214" t="s">
        <v>326</v>
      </c>
    </row>
    <row r="37" spans="1:13">
      <c r="B37" s="213" t="s">
        <v>318</v>
      </c>
      <c r="M37" s="220" t="s">
        <v>327</v>
      </c>
    </row>
    <row r="38" spans="1:13">
      <c r="B38" s="216" t="s">
        <v>319</v>
      </c>
      <c r="M38" s="214" t="s">
        <v>328</v>
      </c>
    </row>
    <row r="39" spans="1:13">
      <c r="M39" s="214" t="s">
        <v>329</v>
      </c>
    </row>
    <row r="41" spans="1:13">
      <c r="A41" t="s">
        <v>330</v>
      </c>
    </row>
    <row r="42" spans="1:13">
      <c r="B42" s="221" t="s">
        <v>331</v>
      </c>
      <c r="M42" s="217" t="s">
        <v>344</v>
      </c>
    </row>
    <row r="43" spans="1:13">
      <c r="B43" s="222" t="s">
        <v>332</v>
      </c>
      <c r="M43" s="214" t="s">
        <v>345</v>
      </c>
    </row>
    <row r="44" spans="1:13">
      <c r="B44" s="222" t="s">
        <v>333</v>
      </c>
      <c r="M44" s="214" t="s">
        <v>346</v>
      </c>
    </row>
    <row r="45" spans="1:13">
      <c r="B45" s="221" t="s">
        <v>334</v>
      </c>
      <c r="M45" s="213" t="s">
        <v>347</v>
      </c>
    </row>
    <row r="46" spans="1:13">
      <c r="B46" s="222" t="s">
        <v>335</v>
      </c>
      <c r="M46" s="226" t="s">
        <v>348</v>
      </c>
    </row>
    <row r="47" spans="1:13">
      <c r="B47" s="222" t="s">
        <v>336</v>
      </c>
      <c r="M47" s="217" t="s">
        <v>349</v>
      </c>
    </row>
    <row r="48" spans="1:13">
      <c r="B48" s="222" t="s">
        <v>337</v>
      </c>
      <c r="M48" s="214" t="s">
        <v>350</v>
      </c>
    </row>
    <row r="49" spans="1:13">
      <c r="B49" s="222" t="s">
        <v>338</v>
      </c>
      <c r="M49" s="214" t="s">
        <v>351</v>
      </c>
    </row>
    <row r="50" spans="1:13">
      <c r="B50" s="223" t="s">
        <v>339</v>
      </c>
      <c r="M50" s="217" t="s">
        <v>352</v>
      </c>
    </row>
    <row r="51" spans="1:13">
      <c r="B51" s="224" t="s">
        <v>340</v>
      </c>
    </row>
    <row r="52" spans="1:13">
      <c r="B52" s="221" t="s">
        <v>341</v>
      </c>
    </row>
    <row r="53" spans="1:13">
      <c r="B53" s="222" t="s">
        <v>342</v>
      </c>
    </row>
    <row r="54" spans="1:13">
      <c r="B54" s="225" t="s">
        <v>343</v>
      </c>
    </row>
    <row r="57" spans="1:13">
      <c r="A57" t="s">
        <v>353</v>
      </c>
    </row>
    <row r="58" spans="1:13">
      <c r="B58" s="213" t="s">
        <v>354</v>
      </c>
      <c r="M58" s="217" t="s">
        <v>364</v>
      </c>
    </row>
    <row r="59" spans="1:13">
      <c r="B59" s="214" t="s">
        <v>355</v>
      </c>
      <c r="M59" s="214" t="s">
        <v>365</v>
      </c>
    </row>
    <row r="60" spans="1:13">
      <c r="B60" s="214" t="s">
        <v>356</v>
      </c>
      <c r="M60" s="214" t="s">
        <v>366</v>
      </c>
    </row>
    <row r="61" spans="1:13">
      <c r="B61" s="213" t="s">
        <v>357</v>
      </c>
      <c r="M61" s="214" t="s">
        <v>367</v>
      </c>
    </row>
    <row r="62" spans="1:13">
      <c r="B62" s="219" t="s">
        <v>358</v>
      </c>
      <c r="M62" s="217" t="s">
        <v>368</v>
      </c>
    </row>
    <row r="63" spans="1:13">
      <c r="B63" s="214" t="s">
        <v>359</v>
      </c>
      <c r="M63" s="217" t="s">
        <v>369</v>
      </c>
    </row>
    <row r="64" spans="1:13">
      <c r="B64" s="214" t="s">
        <v>360</v>
      </c>
      <c r="M64" s="214" t="s">
        <v>370</v>
      </c>
    </row>
    <row r="65" spans="1:13">
      <c r="B65" s="213" t="s">
        <v>361</v>
      </c>
      <c r="M65" s="214" t="s">
        <v>371</v>
      </c>
    </row>
    <row r="66" spans="1:13">
      <c r="B66" s="214" t="s">
        <v>362</v>
      </c>
    </row>
    <row r="67" spans="1:13">
      <c r="B67" s="216" t="s">
        <v>363</v>
      </c>
    </row>
    <row r="70" spans="1:13">
      <c r="A70" t="s">
        <v>372</v>
      </c>
    </row>
    <row r="71" spans="1:13">
      <c r="B71" s="213" t="s">
        <v>373</v>
      </c>
      <c r="M71" s="213" t="s">
        <v>383</v>
      </c>
    </row>
    <row r="72" spans="1:13">
      <c r="B72" s="214" t="s">
        <v>374</v>
      </c>
      <c r="M72" s="214" t="s">
        <v>384</v>
      </c>
    </row>
    <row r="73" spans="1:13">
      <c r="B73" s="214" t="s">
        <v>375</v>
      </c>
      <c r="M73" s="214" t="s">
        <v>385</v>
      </c>
    </row>
    <row r="74" spans="1:13">
      <c r="B74" s="214" t="s">
        <v>376</v>
      </c>
      <c r="M74" s="213" t="s">
        <v>386</v>
      </c>
    </row>
    <row r="75" spans="1:13">
      <c r="B75" s="213" t="s">
        <v>377</v>
      </c>
      <c r="M75" s="214" t="s">
        <v>387</v>
      </c>
    </row>
    <row r="76" spans="1:13">
      <c r="B76" s="214" t="s">
        <v>378</v>
      </c>
      <c r="M76" s="214" t="s">
        <v>388</v>
      </c>
    </row>
    <row r="77" spans="1:13">
      <c r="B77" s="214" t="s">
        <v>379</v>
      </c>
      <c r="M77" s="227" t="s">
        <v>393</v>
      </c>
    </row>
    <row r="78" spans="1:13">
      <c r="B78" s="227" t="s">
        <v>382</v>
      </c>
      <c r="M78" s="213" t="s">
        <v>389</v>
      </c>
    </row>
    <row r="79" spans="1:13">
      <c r="B79" s="213" t="s">
        <v>380</v>
      </c>
      <c r="M79" s="214" t="s">
        <v>390</v>
      </c>
    </row>
    <row r="80" spans="1:13">
      <c r="B80" s="216" t="s">
        <v>381</v>
      </c>
      <c r="M80" s="214" t="s">
        <v>391</v>
      </c>
    </row>
    <row r="81" spans="1:13">
      <c r="M81" s="214" t="s">
        <v>392</v>
      </c>
    </row>
    <row r="84" spans="1:13">
      <c r="A84" t="s">
        <v>404</v>
      </c>
    </row>
    <row r="85" spans="1:13">
      <c r="B85" s="213" t="s">
        <v>405</v>
      </c>
      <c r="M85" s="213" t="s">
        <v>394</v>
      </c>
    </row>
    <row r="86" spans="1:13">
      <c r="B86" s="214" t="s">
        <v>406</v>
      </c>
      <c r="M86" s="214" t="s">
        <v>395</v>
      </c>
    </row>
    <row r="87" spans="1:13">
      <c r="B87" s="214" t="s">
        <v>407</v>
      </c>
      <c r="M87" s="214" t="s">
        <v>396</v>
      </c>
    </row>
    <row r="88" spans="1:13">
      <c r="B88" s="214" t="s">
        <v>408</v>
      </c>
      <c r="M88" s="213" t="s">
        <v>397</v>
      </c>
    </row>
    <row r="89" spans="1:13">
      <c r="B89" s="228" t="s">
        <v>409</v>
      </c>
      <c r="M89" s="214" t="s">
        <v>398</v>
      </c>
    </row>
    <row r="90" spans="1:13">
      <c r="B90" s="213" t="s">
        <v>410</v>
      </c>
      <c r="M90" s="214" t="s">
        <v>399</v>
      </c>
    </row>
    <row r="91" spans="1:13">
      <c r="B91" s="214" t="s">
        <v>411</v>
      </c>
      <c r="M91" s="214" t="s">
        <v>400</v>
      </c>
    </row>
    <row r="92" spans="1:13">
      <c r="B92" s="214" t="s">
        <v>412</v>
      </c>
      <c r="M92" s="214" t="s">
        <v>401</v>
      </c>
    </row>
    <row r="93" spans="1:13">
      <c r="B93" s="214" t="s">
        <v>413</v>
      </c>
      <c r="M93" s="213" t="s">
        <v>402</v>
      </c>
    </row>
    <row r="94" spans="1:13">
      <c r="B94" s="214" t="s">
        <v>400</v>
      </c>
      <c r="M94" s="214" t="s">
        <v>403</v>
      </c>
    </row>
    <row r="95" spans="1:13">
      <c r="B95" s="229" t="s">
        <v>414</v>
      </c>
    </row>
    <row r="96" spans="1:13">
      <c r="B96" s="214" t="s">
        <v>415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  <vt:lpstr>FB, IG 멘트정리시트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cp:lastPrinted>2024-07-03T01:10:51Z</cp:lastPrinted>
  <dcterms:created xsi:type="dcterms:W3CDTF">2023-08-08T04:29:36Z</dcterms:created>
  <dcterms:modified xsi:type="dcterms:W3CDTF">2024-10-02T13:40:42Z</dcterms:modified>
</cp:coreProperties>
</file>